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aptop-Sistemas\Desktop\Nueva carpeta\Indicadores\"/>
    </mc:Choice>
  </mc:AlternateContent>
  <bookViews>
    <workbookView xWindow="0" yWindow="0" windowWidth="6795" windowHeight="7620"/>
  </bookViews>
  <sheets>
    <sheet name="Abril" sheetId="8" r:id="rId1"/>
  </sheets>
  <definedNames>
    <definedName name="_xlnm.Print_Area" localSheetId="0">Abril!$A$1:$N$30</definedName>
  </definedNames>
  <calcPr calcId="162913"/>
</workbook>
</file>

<file path=xl/calcChain.xml><?xml version="1.0" encoding="utf-8"?>
<calcChain xmlns="http://schemas.openxmlformats.org/spreadsheetml/2006/main">
  <c r="I15" i="8" l="1"/>
  <c r="J10" i="8" l="1"/>
  <c r="J11" i="8"/>
  <c r="F14" i="8" l="1"/>
  <c r="J12" i="8" l="1"/>
  <c r="J13" i="8" l="1"/>
  <c r="I14" i="8" l="1"/>
</calcChain>
</file>

<file path=xl/sharedStrings.xml><?xml version="1.0" encoding="utf-8"?>
<sst xmlns="http://schemas.openxmlformats.org/spreadsheetml/2006/main" count="73" uniqueCount="58">
  <si>
    <t>DICIEMBRE</t>
  </si>
  <si>
    <t>NOVIEMBRE</t>
  </si>
  <si>
    <t>OCTUBRE</t>
  </si>
  <si>
    <t>SEPTIEMBRE</t>
  </si>
  <si>
    <t>AGOSTO</t>
  </si>
  <si>
    <t>JULIO</t>
  </si>
  <si>
    <t>JUNIO</t>
  </si>
  <si>
    <t>MAYO</t>
  </si>
  <si>
    <t>ABRIL</t>
  </si>
  <si>
    <t>MARZO</t>
  </si>
  <si>
    <t>FEBRERO</t>
  </si>
  <si>
    <t>ENERO</t>
  </si>
  <si>
    <t>FIRMA:</t>
  </si>
  <si>
    <t>CARGO:</t>
  </si>
  <si>
    <t>NOMBRE Y APELLIDO:</t>
  </si>
  <si>
    <t>REVISADO POR:</t>
  </si>
  <si>
    <t>REALIZADO POR:</t>
  </si>
  <si>
    <t>TOTAL EFECTIVIDAD</t>
  </si>
  <si>
    <t>TOTAL ASIGNACION</t>
  </si>
  <si>
    <t>Observaciones</t>
  </si>
  <si>
    <t>Bonificación</t>
  </si>
  <si>
    <t>Desempeño</t>
  </si>
  <si>
    <t>Resultado</t>
  </si>
  <si>
    <t>Valor</t>
  </si>
  <si>
    <t>Criterio Medición de Desempeño</t>
  </si>
  <si>
    <t>Criterio Medición de Resultados</t>
  </si>
  <si>
    <t>Indicador</t>
  </si>
  <si>
    <t>Año:</t>
  </si>
  <si>
    <t>Mes:</t>
  </si>
  <si>
    <t>Bonificación:</t>
  </si>
  <si>
    <t>Cargo:</t>
  </si>
  <si>
    <t>Departamento:</t>
  </si>
  <si>
    <t>Revisión:</t>
  </si>
  <si>
    <t>FO-DIR-11</t>
  </si>
  <si>
    <t>Indicadores de Desempeño y Logro de Objetivos</t>
  </si>
  <si>
    <t>Soportes</t>
  </si>
  <si>
    <t xml:space="preserve">OBSERVACIONES: </t>
  </si>
  <si>
    <t>Efectividad</t>
  </si>
  <si>
    <t>Nombre y Apellido:</t>
  </si>
  <si>
    <t>Sistemas</t>
  </si>
  <si>
    <t>02</t>
  </si>
  <si>
    <t>08/04/2016</t>
  </si>
  <si>
    <t>Fecha:</t>
  </si>
  <si>
    <t xml:space="preserve"> </t>
  </si>
  <si>
    <t>Rutinario</t>
  </si>
  <si>
    <t>Projectos completados</t>
  </si>
  <si>
    <t xml:space="preserve">Soportes Nocturnos </t>
  </si>
  <si>
    <t xml:space="preserve">Numero de ticket cerrados al mes en plataforma Click Up                                                                                                              A)Banda 80% a 100 %  . Boto 100%                                                          B)Banda 50% a 79 %       Boto 70%                                                                 C)Banda 0% a 49 %          Boto 0%      </t>
  </si>
  <si>
    <t>Tickets Trabajados Clic Up</t>
  </si>
  <si>
    <t>Efectividad de los trabajos realizados en guardia nocturna, Cantidad de casos todales contra casos no solucionados</t>
  </si>
  <si>
    <t>Francisco Maldonado</t>
  </si>
  <si>
    <t xml:space="preserve">
Ejecución de Proceso Espacial de Acumulados  
Contabilización
Cambio de Cotización  
</t>
  </si>
  <si>
    <t>Se realizaron las tareas diarias de manera satisfactoria</t>
  </si>
  <si>
    <t>Se realizo de manera satisfactoria la guardia nocturna respondiendo a todas las solicitudes generadas por las tiendas durante el periodo solicitado</t>
  </si>
  <si>
    <t>Validacion diaria de las transacciones de las tiendas
Creacion y Modificacion de Reportes
Instalacion de Programas necesarios  
Limpieza de libros de venta</t>
  </si>
  <si>
    <t>Analista de Sistemas</t>
  </si>
  <si>
    <t>Se realizo la revision de las transacciones todos los dias revisando que los costos llegasen de manera correcta, Se realizo la modificacion de algunos reportes  para que los mismos entregaran informacion adicional util para los diferentes departamentos, limpieza de libros de Venta de todas las sociedades</t>
  </si>
  <si>
    <t>Mes de Noviembre se atendieron  123  casos de los cuales 118 fueron dentro de la puntualidad de 4 dias  para una puntualidad de 95,93%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</si>
</sst>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quot;$&quot;* #,##0.00_);_(&quot;$&quot;* \(#,##0.00\);_(&quot;$&quot;* &quot;-&quot;??_);_(@_)"/>
    <numFmt numFmtId="165" formatCode="_ * #,##0.00_ ;_ * \-#,##0.00_ ;_ * &quot;-&quot;??_ ;_ @_ "/>
    <numFmt numFmtId="166" formatCode="0_ ;\-0\ "/>
    <numFmt numFmtId="167" formatCode="#,##0.00_ ;\-#,##0.00\ "/>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
      <b/>
      <sz val="16"/>
      <name val="Calibri"/>
      <family val="2"/>
      <scheme val="minor"/>
    </font>
    <font>
      <sz val="12"/>
      <name val="Calibri"/>
      <family val="2"/>
      <scheme val="minor"/>
    </font>
    <font>
      <b/>
      <sz val="12"/>
      <name val="Calibri"/>
      <family val="2"/>
      <scheme val="minor"/>
    </font>
    <font>
      <sz val="11"/>
      <color rgb="FFFF0000"/>
      <name val="Calibri"/>
      <family val="2"/>
      <scheme val="minor"/>
    </font>
    <font>
      <b/>
      <sz val="14"/>
      <color rgb="FFFF0000"/>
      <name val="Calibri"/>
      <family val="2"/>
      <scheme val="minor"/>
    </font>
    <font>
      <sz val="12"/>
      <color theme="1"/>
      <name val="Calibri"/>
      <family val="2"/>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FF00"/>
        <bgColor indexed="64"/>
      </patternFill>
    </fill>
  </fills>
  <borders count="33">
    <border>
      <left/>
      <right/>
      <top/>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101">
    <xf numFmtId="0" fontId="0" fillId="0" borderId="0" xfId="0"/>
    <xf numFmtId="0" fontId="0" fillId="0" borderId="5" xfId="0" applyBorder="1" applyProtection="1">
      <protection locked="0"/>
    </xf>
    <xf numFmtId="0" fontId="0" fillId="0" borderId="11" xfId="0" applyBorder="1" applyProtection="1">
      <protection locked="0"/>
    </xf>
    <xf numFmtId="0" fontId="0" fillId="0" borderId="13" xfId="0" applyBorder="1" applyProtection="1">
      <protection locked="0"/>
    </xf>
    <xf numFmtId="0" fontId="9" fillId="0" borderId="9" xfId="0" applyFont="1" applyBorder="1" applyAlignment="1">
      <alignment horizontal="right" vertical="center"/>
    </xf>
    <xf numFmtId="49" fontId="8" fillId="0" borderId="9" xfId="0" applyNumberFormat="1" applyFont="1" applyBorder="1" applyAlignment="1">
      <alignment horizontal="center" vertical="center"/>
    </xf>
    <xf numFmtId="0" fontId="7" fillId="0" borderId="0" xfId="0" applyFont="1" applyAlignment="1">
      <alignment horizontal="center" vertical="center"/>
    </xf>
    <xf numFmtId="0" fontId="9" fillId="0" borderId="0" xfId="0" applyFont="1" applyAlignment="1">
      <alignment horizontal="right" vertical="center"/>
    </xf>
    <xf numFmtId="49" fontId="8" fillId="0" borderId="0" xfId="0" applyNumberFormat="1"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2" fillId="0" borderId="0" xfId="0" applyFont="1" applyAlignment="1">
      <alignment horizontal="right"/>
    </xf>
    <xf numFmtId="0" fontId="0" fillId="0" borderId="0" xfId="0" applyAlignment="1">
      <alignment horizontal="center" vertical="center"/>
    </xf>
    <xf numFmtId="0" fontId="3" fillId="0" borderId="0" xfId="0" applyFont="1" applyAlignment="1">
      <alignment horizontal="right" vertical="center"/>
    </xf>
    <xf numFmtId="17" fontId="6"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wrapText="1"/>
    </xf>
    <xf numFmtId="166" fontId="6" fillId="0" borderId="0" xfId="1" applyNumberFormat="1" applyFont="1" applyBorder="1" applyAlignment="1" applyProtection="1">
      <alignment horizontal="center" vertical="center"/>
    </xf>
    <xf numFmtId="0" fontId="3" fillId="0" borderId="0" xfId="0" applyFont="1" applyAlignment="1">
      <alignment vertical="center"/>
    </xf>
    <xf numFmtId="0" fontId="6" fillId="0" borderId="0" xfId="0" applyFont="1" applyAlignment="1">
      <alignment horizontal="center" vertical="center"/>
    </xf>
    <xf numFmtId="167" fontId="6" fillId="0" borderId="0" xfId="1" applyNumberFormat="1" applyFont="1" applyBorder="1" applyAlignment="1" applyProtection="1">
      <alignment horizontal="center" vertical="center"/>
    </xf>
    <xf numFmtId="9" fontId="11" fillId="0" borderId="9" xfId="2" applyFont="1" applyBorder="1" applyAlignment="1" applyProtection="1">
      <alignment horizontal="center" vertical="center"/>
    </xf>
    <xf numFmtId="0" fontId="2" fillId="0" borderId="0" xfId="0" applyFont="1" applyAlignment="1">
      <alignment horizontal="justify" vertical="top" wrapText="1"/>
    </xf>
    <xf numFmtId="9" fontId="5" fillId="0" borderId="0" xfId="0" applyNumberFormat="1" applyFont="1" applyAlignment="1">
      <alignment horizontal="center" vertical="center" wrapText="1"/>
    </xf>
    <xf numFmtId="0" fontId="0" fillId="0" borderId="0" xfId="0" applyAlignment="1">
      <alignment horizontal="justify" vertical="top" wrapText="1"/>
    </xf>
    <xf numFmtId="9" fontId="4" fillId="0" borderId="0" xfId="0" applyNumberFormat="1" applyFont="1" applyAlignment="1">
      <alignment horizontal="center" vertical="center" wrapText="1"/>
    </xf>
    <xf numFmtId="0" fontId="0" fillId="0" borderId="14" xfId="0" applyBorder="1"/>
    <xf numFmtId="0" fontId="0" fillId="0" borderId="12" xfId="0" applyBorder="1"/>
    <xf numFmtId="0" fontId="0" fillId="0" borderId="6" xfId="0" applyBorder="1"/>
    <xf numFmtId="0" fontId="0" fillId="0" borderId="0" xfId="0" applyAlignment="1">
      <alignment horizontal="center"/>
    </xf>
    <xf numFmtId="17" fontId="6" fillId="0" borderId="20" xfId="0" applyNumberFormat="1" applyFont="1" applyBorder="1" applyAlignment="1" applyProtection="1">
      <alignment horizontal="center" vertical="center"/>
      <protection locked="0"/>
    </xf>
    <xf numFmtId="166" fontId="6" fillId="0" borderId="20" xfId="1" applyNumberFormat="1" applyFont="1" applyBorder="1" applyAlignment="1" applyProtection="1">
      <alignment horizontal="center" vertical="center"/>
      <protection locked="0"/>
    </xf>
    <xf numFmtId="0" fontId="0" fillId="0" borderId="20" xfId="0" applyBorder="1" applyProtection="1">
      <protection locked="0"/>
    </xf>
    <xf numFmtId="167" fontId="6" fillId="0" borderId="20" xfId="1" applyNumberFormat="1"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9" fontId="3" fillId="0" borderId="9" xfId="0" applyNumberFormat="1" applyFont="1" applyBorder="1" applyAlignment="1" applyProtection="1">
      <alignment horizontal="center" vertical="center" wrapText="1"/>
      <protection locked="0"/>
    </xf>
    <xf numFmtId="2" fontId="6" fillId="0" borderId="9" xfId="0" applyNumberFormat="1" applyFont="1" applyBorder="1" applyAlignment="1" applyProtection="1">
      <alignment horizontal="left" vertical="center" wrapText="1"/>
      <protection locked="0"/>
    </xf>
    <xf numFmtId="0" fontId="3" fillId="0" borderId="0" xfId="0" applyFont="1" applyAlignment="1" applyProtection="1">
      <alignment horizontal="center" vertical="center"/>
      <protection locked="0"/>
    </xf>
    <xf numFmtId="9" fontId="5" fillId="0" borderId="9" xfId="0" applyNumberFormat="1" applyFont="1" applyBorder="1" applyAlignment="1" applyProtection="1">
      <alignment horizontal="center" vertical="center" wrapText="1"/>
      <protection locked="0"/>
    </xf>
    <xf numFmtId="0" fontId="9" fillId="0" borderId="0" xfId="0" applyFont="1" applyAlignment="1">
      <alignment horizontal="center" vertical="center"/>
    </xf>
    <xf numFmtId="0" fontId="7" fillId="4" borderId="9" xfId="0" applyFont="1" applyFill="1" applyBorder="1" applyAlignment="1">
      <alignment horizontal="center" vertical="center" wrapText="1"/>
    </xf>
    <xf numFmtId="165" fontId="4" fillId="0" borderId="0" xfId="1" applyFont="1" applyBorder="1" applyAlignment="1" applyProtection="1">
      <alignment horizontal="center" vertical="center" wrapText="1"/>
    </xf>
    <xf numFmtId="0" fontId="3" fillId="5" borderId="30" xfId="0" applyFont="1" applyFill="1" applyBorder="1" applyAlignment="1" applyProtection="1">
      <alignment horizontal="left" vertical="center" wrapText="1"/>
      <protection locked="0"/>
    </xf>
    <xf numFmtId="0" fontId="3" fillId="5" borderId="30" xfId="0" applyFont="1" applyFill="1" applyBorder="1" applyAlignment="1" applyProtection="1">
      <alignment vertical="center" wrapText="1"/>
      <protection locked="0"/>
    </xf>
    <xf numFmtId="0" fontId="10" fillId="0" borderId="8" xfId="0" applyFont="1" applyBorder="1" applyAlignment="1" applyProtection="1">
      <alignment horizontal="left" vertical="center" wrapText="1"/>
      <protection locked="0"/>
    </xf>
    <xf numFmtId="0" fontId="10" fillId="0" borderId="19" xfId="0" applyFont="1" applyBorder="1" applyAlignment="1" applyProtection="1">
      <alignment horizontal="left" vertical="center" wrapText="1"/>
      <protection locked="0"/>
    </xf>
    <xf numFmtId="0" fontId="10" fillId="0" borderId="21" xfId="0" applyFont="1" applyBorder="1" applyAlignment="1" applyProtection="1">
      <alignment horizontal="left" vertical="center" wrapText="1"/>
      <protection locked="0"/>
    </xf>
    <xf numFmtId="0" fontId="3" fillId="5" borderId="9" xfId="0" applyFont="1" applyFill="1" applyBorder="1" applyAlignment="1" applyProtection="1">
      <alignment vertical="center" wrapText="1"/>
      <protection locked="0"/>
    </xf>
    <xf numFmtId="164" fontId="5" fillId="0" borderId="9" xfId="3" applyFont="1" applyBorder="1" applyAlignment="1" applyProtection="1">
      <alignment horizontal="center" vertical="center" wrapText="1"/>
    </xf>
    <xf numFmtId="0" fontId="6" fillId="0" borderId="8"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8" xfId="0" applyFont="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0" fillId="0" borderId="19" xfId="0" applyFont="1" applyBorder="1" applyAlignment="1" applyProtection="1">
      <alignment horizontal="center" vertical="center" wrapText="1"/>
      <protection locked="0"/>
    </xf>
    <xf numFmtId="0" fontId="10" fillId="0" borderId="21" xfId="0" applyFont="1" applyBorder="1" applyAlignment="1" applyProtection="1">
      <alignment horizontal="center" vertical="center" wrapText="1"/>
      <protection locked="0"/>
    </xf>
    <xf numFmtId="0" fontId="6" fillId="0" borderId="9" xfId="0" applyFont="1" applyBorder="1" applyAlignment="1" applyProtection="1">
      <alignment horizontal="left" vertical="center" wrapText="1"/>
      <protection locked="0"/>
    </xf>
    <xf numFmtId="0" fontId="10" fillId="0" borderId="9" xfId="0" applyFont="1" applyBorder="1" applyAlignment="1" applyProtection="1">
      <alignment horizontal="left" vertical="center" wrapText="1"/>
      <protection locked="0"/>
    </xf>
    <xf numFmtId="0" fontId="6" fillId="0" borderId="21" xfId="0" applyFont="1" applyBorder="1" applyAlignment="1" applyProtection="1">
      <alignment horizontal="left" vertical="center"/>
      <protection locked="0"/>
    </xf>
    <xf numFmtId="0" fontId="12" fillId="0" borderId="31" xfId="0" applyFont="1" applyBorder="1" applyAlignment="1">
      <alignment horizontal="left" vertical="center" wrapText="1"/>
    </xf>
    <xf numFmtId="0" fontId="13" fillId="0" borderId="32" xfId="0" applyFont="1" applyBorder="1"/>
    <xf numFmtId="0" fontId="7" fillId="0" borderId="9" xfId="0" applyFont="1" applyBorder="1" applyAlignment="1">
      <alignment horizontal="center" vertical="center"/>
    </xf>
    <xf numFmtId="0" fontId="9" fillId="0" borderId="26"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28" xfId="0" applyFont="1" applyBorder="1" applyAlignment="1">
      <alignment horizontal="center" vertical="center"/>
    </xf>
    <xf numFmtId="0" fontId="9" fillId="0" borderId="0" xfId="0" applyFont="1" applyAlignment="1">
      <alignment horizontal="center" vertical="center"/>
    </xf>
    <xf numFmtId="0" fontId="9" fillId="0" borderId="2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22" xfId="0" applyFont="1" applyBorder="1" applyAlignment="1">
      <alignment horizontal="center" vertical="center"/>
    </xf>
    <xf numFmtId="0" fontId="8" fillId="0" borderId="8" xfId="0" applyFont="1" applyBorder="1" applyAlignment="1">
      <alignment horizontal="center" vertical="center"/>
    </xf>
    <xf numFmtId="0" fontId="8" fillId="0" borderId="21" xfId="0" applyFont="1" applyBorder="1" applyAlignment="1">
      <alignment horizontal="center" vertical="center"/>
    </xf>
    <xf numFmtId="14" fontId="8" fillId="0" borderId="8" xfId="0" applyNumberFormat="1" applyFont="1" applyBorder="1" applyAlignment="1">
      <alignment horizontal="center" vertical="center"/>
    </xf>
    <xf numFmtId="14" fontId="8" fillId="0" borderId="21" xfId="0" applyNumberFormat="1" applyFont="1" applyBorder="1" applyAlignment="1">
      <alignment horizontal="center" vertical="center"/>
    </xf>
    <xf numFmtId="0" fontId="7" fillId="4" borderId="9" xfId="0" applyFont="1" applyFill="1" applyBorder="1" applyAlignment="1">
      <alignment horizontal="center" vertical="center" wrapText="1"/>
    </xf>
    <xf numFmtId="0" fontId="3" fillId="0" borderId="9" xfId="0" applyFont="1" applyBorder="1" applyAlignment="1" applyProtection="1">
      <alignment horizontal="center" vertical="center"/>
      <protection locked="0"/>
    </xf>
    <xf numFmtId="9" fontId="5" fillId="3" borderId="23" xfId="0" applyNumberFormat="1" applyFont="1" applyFill="1" applyBorder="1" applyAlignment="1">
      <alignment horizontal="right" vertical="center"/>
    </xf>
    <xf numFmtId="9" fontId="5" fillId="3" borderId="22" xfId="0" applyNumberFormat="1" applyFont="1" applyFill="1" applyBorder="1" applyAlignment="1">
      <alignment horizontal="right" vertical="center"/>
    </xf>
    <xf numFmtId="164" fontId="5" fillId="3" borderId="23" xfId="3" applyFont="1" applyFill="1" applyBorder="1" applyAlignment="1" applyProtection="1">
      <alignment horizontal="center" vertical="center" wrapText="1"/>
    </xf>
    <xf numFmtId="164" fontId="5" fillId="3" borderId="22" xfId="3" applyFont="1" applyFill="1" applyBorder="1" applyAlignment="1" applyProtection="1">
      <alignment horizontal="center" vertical="center" wrapText="1"/>
    </xf>
    <xf numFmtId="9" fontId="5" fillId="3" borderId="8" xfId="0" applyNumberFormat="1" applyFont="1" applyFill="1" applyBorder="1" applyAlignment="1">
      <alignment horizontal="right" vertical="center"/>
    </xf>
    <xf numFmtId="9" fontId="5" fillId="3" borderId="21" xfId="0" applyNumberFormat="1" applyFont="1" applyFill="1" applyBorder="1" applyAlignment="1">
      <alignment horizontal="right" vertical="center"/>
    </xf>
    <xf numFmtId="9" fontId="5" fillId="3" borderId="8" xfId="2" applyFont="1" applyFill="1" applyBorder="1" applyAlignment="1" applyProtection="1">
      <alignment horizontal="center" vertical="center" wrapText="1"/>
    </xf>
    <xf numFmtId="9" fontId="5" fillId="3" borderId="21" xfId="2" applyFont="1" applyFill="1" applyBorder="1" applyAlignment="1" applyProtection="1">
      <alignment horizontal="center" vertical="center" wrapText="1"/>
    </xf>
    <xf numFmtId="0" fontId="3" fillId="0" borderId="20" xfId="0" applyFont="1" applyBorder="1" applyAlignment="1">
      <alignment horizontal="left" vertical="center"/>
    </xf>
    <xf numFmtId="0" fontId="0" fillId="0" borderId="10" xfId="0" applyBorder="1" applyAlignment="1">
      <alignment horizontal="left"/>
    </xf>
    <xf numFmtId="0" fontId="0" fillId="0" borderId="9" xfId="0" applyBorder="1" applyAlignment="1">
      <alignment horizontal="left"/>
    </xf>
    <xf numFmtId="0" fontId="0" fillId="0" borderId="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7" xfId="0" applyBorder="1" applyAlignment="1" applyProtection="1">
      <alignment horizontal="center"/>
      <protection locked="0"/>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pplyProtection="1">
      <alignment horizontal="center"/>
      <protection locked="0"/>
    </xf>
    <xf numFmtId="0" fontId="0" fillId="0" borderId="27" xfId="0" applyBorder="1" applyAlignment="1" applyProtection="1">
      <alignment horizontal="center"/>
      <protection locked="0"/>
    </xf>
    <xf numFmtId="0" fontId="0" fillId="0" borderId="1" xfId="0" applyBorder="1" applyAlignment="1" applyProtection="1">
      <alignment horizontal="center"/>
      <protection locked="0"/>
    </xf>
    <xf numFmtId="0" fontId="2" fillId="2" borderId="18" xfId="0" applyFont="1" applyFill="1" applyBorder="1" applyAlignment="1">
      <alignment horizontal="left"/>
    </xf>
    <xf numFmtId="0" fontId="2" fillId="2" borderId="17" xfId="0" applyFont="1" applyFill="1" applyBorder="1" applyAlignment="1">
      <alignment horizontal="left"/>
    </xf>
    <xf numFmtId="0" fontId="2" fillId="2" borderId="14" xfId="0" applyFont="1" applyFill="1" applyBorder="1" applyAlignment="1">
      <alignment horizontal="left"/>
    </xf>
    <xf numFmtId="0" fontId="2" fillId="2" borderId="16" xfId="0" applyFont="1" applyFill="1" applyBorder="1" applyAlignment="1">
      <alignment horizontal="left"/>
    </xf>
    <xf numFmtId="0" fontId="2" fillId="2" borderId="15" xfId="0" applyFont="1" applyFill="1" applyBorder="1" applyAlignment="1">
      <alignment horizontal="left"/>
    </xf>
  </cellXfs>
  <cellStyles count="4">
    <cellStyle name="Millares" xfId="1" builtinId="3"/>
    <cellStyle name="Moneda" xfId="3" builtinId="4"/>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100012</xdr:rowOff>
    </xdr:from>
    <xdr:to>
      <xdr:col>0</xdr:col>
      <xdr:colOff>1121229</xdr:colOff>
      <xdr:row>2</xdr:row>
      <xdr:rowOff>207168</xdr:rowOff>
    </xdr:to>
    <xdr:pic>
      <xdr:nvPicPr>
        <xdr:cNvPr id="2" name="2 Imagen" descr="LOGO LA CASA DE LA CAÑA.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42875" y="100012"/>
          <a:ext cx="978354" cy="5072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4"/>
  <sheetViews>
    <sheetView showGridLines="0" tabSelected="1" view="pageBreakPreview" zoomScale="50" zoomScaleNormal="70" zoomScaleSheetLayoutView="50" workbookViewId="0">
      <selection activeCell="D14" sqref="D14"/>
    </sheetView>
  </sheetViews>
  <sheetFormatPr baseColWidth="10" defaultColWidth="11.42578125" defaultRowHeight="15" x14ac:dyDescent="0.25"/>
  <cols>
    <col min="1" max="2" width="21.5703125" customWidth="1"/>
    <col min="3" max="3" width="88.85546875" customWidth="1"/>
    <col min="4" max="4" width="38.5703125" customWidth="1"/>
    <col min="5" max="5" width="40.140625" customWidth="1"/>
    <col min="6" max="6" width="12.7109375" style="12" bestFit="1" customWidth="1"/>
    <col min="7" max="7" width="15" style="12" bestFit="1" customWidth="1"/>
    <col min="8" max="8" width="17.85546875" style="12" bestFit="1" customWidth="1"/>
    <col min="9" max="9" width="16.42578125" style="12" bestFit="1" customWidth="1"/>
    <col min="10" max="10" width="25.28515625" style="12" customWidth="1"/>
    <col min="11" max="11" width="51.28515625" style="12" customWidth="1"/>
    <col min="12" max="12" width="19.85546875" customWidth="1"/>
    <col min="13" max="13" width="3.7109375" bestFit="1" customWidth="1"/>
    <col min="14" max="14" width="20.28515625" customWidth="1"/>
    <col min="17" max="17" width="0" hidden="1" customWidth="1"/>
  </cols>
  <sheetData>
    <row r="1" spans="1:14" ht="15.75" x14ac:dyDescent="0.25">
      <c r="A1" s="61"/>
      <c r="B1" s="62" t="s">
        <v>34</v>
      </c>
      <c r="C1" s="63"/>
      <c r="D1" s="63"/>
      <c r="E1" s="63"/>
      <c r="F1" s="63"/>
      <c r="G1" s="63"/>
      <c r="H1" s="63"/>
      <c r="I1" s="63"/>
      <c r="J1" s="63"/>
      <c r="K1" s="64"/>
      <c r="L1" s="4">
        <v>1</v>
      </c>
      <c r="M1" s="71" t="s">
        <v>33</v>
      </c>
      <c r="N1" s="72"/>
    </row>
    <row r="2" spans="1:14" ht="15.75" x14ac:dyDescent="0.25">
      <c r="A2" s="61"/>
      <c r="B2" s="65"/>
      <c r="C2" s="66"/>
      <c r="D2" s="66"/>
      <c r="E2" s="66"/>
      <c r="F2" s="66"/>
      <c r="G2" s="66"/>
      <c r="H2" s="66"/>
      <c r="I2" s="66"/>
      <c r="J2" s="66"/>
      <c r="K2" s="67"/>
      <c r="L2" s="4" t="s">
        <v>32</v>
      </c>
      <c r="M2" s="5" t="s">
        <v>40</v>
      </c>
      <c r="N2" s="5" t="s">
        <v>41</v>
      </c>
    </row>
    <row r="3" spans="1:14" ht="24" customHeight="1" x14ac:dyDescent="0.25">
      <c r="A3" s="61"/>
      <c r="B3" s="68"/>
      <c r="C3" s="69"/>
      <c r="D3" s="69"/>
      <c r="E3" s="69"/>
      <c r="F3" s="69"/>
      <c r="G3" s="69"/>
      <c r="H3" s="69"/>
      <c r="I3" s="69"/>
      <c r="J3" s="69"/>
      <c r="K3" s="70"/>
      <c r="L3" s="4" t="s">
        <v>42</v>
      </c>
      <c r="M3" s="73">
        <v>42468</v>
      </c>
      <c r="N3" s="74"/>
    </row>
    <row r="4" spans="1:14" ht="21" x14ac:dyDescent="0.25">
      <c r="A4" s="6"/>
      <c r="B4" s="39"/>
      <c r="C4" s="39"/>
      <c r="D4" s="39"/>
      <c r="E4" s="39"/>
      <c r="F4" s="39"/>
      <c r="G4" s="39"/>
      <c r="H4" s="7"/>
      <c r="I4" s="7"/>
      <c r="J4" s="8"/>
      <c r="K4" s="8"/>
    </row>
    <row r="5" spans="1:14" ht="21" x14ac:dyDescent="0.25">
      <c r="A5" s="9"/>
      <c r="B5" s="10" t="s">
        <v>31</v>
      </c>
      <c r="C5" s="34" t="s">
        <v>39</v>
      </c>
      <c r="D5" s="11" t="s">
        <v>38</v>
      </c>
      <c r="E5" s="32" t="s">
        <v>50</v>
      </c>
      <c r="G5" s="13" t="s">
        <v>28</v>
      </c>
      <c r="H5" s="30" t="s">
        <v>8</v>
      </c>
      <c r="K5" s="14"/>
    </row>
    <row r="6" spans="1:14" ht="21" x14ac:dyDescent="0.25">
      <c r="A6" s="9"/>
      <c r="B6" s="10" t="s">
        <v>30</v>
      </c>
      <c r="C6" s="34" t="s">
        <v>55</v>
      </c>
      <c r="D6" s="13" t="s">
        <v>29</v>
      </c>
      <c r="E6" s="33">
        <v>204</v>
      </c>
      <c r="F6" s="15"/>
      <c r="G6" s="16" t="s">
        <v>27</v>
      </c>
      <c r="H6" s="31">
        <v>2026</v>
      </c>
      <c r="K6" s="14"/>
      <c r="L6" s="16"/>
      <c r="M6" s="16"/>
      <c r="N6" s="17"/>
    </row>
    <row r="7" spans="1:14" ht="21" x14ac:dyDescent="0.25">
      <c r="A7" s="9"/>
      <c r="B7" s="18"/>
      <c r="C7" s="19"/>
      <c r="D7" s="13"/>
      <c r="E7" s="19"/>
      <c r="F7" s="15"/>
      <c r="G7" s="20"/>
      <c r="H7" s="13"/>
      <c r="I7" s="13"/>
      <c r="J7" s="14"/>
      <c r="K7" s="14"/>
      <c r="L7" s="16"/>
      <c r="M7" s="16"/>
      <c r="N7" s="17"/>
    </row>
    <row r="8" spans="1:14" ht="12.75" customHeight="1" x14ac:dyDescent="0.25">
      <c r="A8" s="18"/>
    </row>
    <row r="9" spans="1:14" ht="30.75" customHeight="1" x14ac:dyDescent="0.25">
      <c r="A9" s="40" t="s">
        <v>26</v>
      </c>
      <c r="B9" s="75" t="s">
        <v>25</v>
      </c>
      <c r="C9" s="75"/>
      <c r="D9" s="75" t="s">
        <v>24</v>
      </c>
      <c r="E9" s="75"/>
      <c r="F9" s="40" t="s">
        <v>23</v>
      </c>
      <c r="G9" s="40" t="s">
        <v>22</v>
      </c>
      <c r="H9" s="40" t="s">
        <v>21</v>
      </c>
      <c r="I9" s="40" t="s">
        <v>37</v>
      </c>
      <c r="J9" s="40" t="s">
        <v>20</v>
      </c>
      <c r="K9" s="40" t="s">
        <v>35</v>
      </c>
      <c r="L9" s="75" t="s">
        <v>19</v>
      </c>
      <c r="M9" s="75"/>
      <c r="N9" s="75"/>
    </row>
    <row r="10" spans="1:14" ht="130.5" customHeight="1" x14ac:dyDescent="0.25">
      <c r="A10" s="42" t="s">
        <v>44</v>
      </c>
      <c r="B10" s="49" t="s">
        <v>51</v>
      </c>
      <c r="C10" s="58"/>
      <c r="D10" s="51" t="s">
        <v>52</v>
      </c>
      <c r="E10" s="52"/>
      <c r="F10" s="38">
        <v>0.25</v>
      </c>
      <c r="G10" s="38">
        <v>0.25</v>
      </c>
      <c r="H10" s="38">
        <v>0.25</v>
      </c>
      <c r="I10" s="21"/>
      <c r="J10" s="48">
        <f>(G10*$E$6)</f>
        <v>51</v>
      </c>
      <c r="K10" s="36"/>
      <c r="L10" s="53"/>
      <c r="M10" s="54"/>
      <c r="N10" s="55"/>
    </row>
    <row r="11" spans="1:14" ht="98.25" customHeight="1" x14ac:dyDescent="0.25">
      <c r="A11" s="43" t="s">
        <v>45</v>
      </c>
      <c r="B11" s="59" t="s">
        <v>54</v>
      </c>
      <c r="C11" s="60"/>
      <c r="D11" s="56" t="s">
        <v>56</v>
      </c>
      <c r="E11" s="56"/>
      <c r="F11" s="38">
        <v>0.4</v>
      </c>
      <c r="G11" s="38">
        <v>0.4</v>
      </c>
      <c r="H11" s="35">
        <v>0.4</v>
      </c>
      <c r="I11" s="21"/>
      <c r="J11" s="48">
        <f>(G11*$E$6)</f>
        <v>81.600000000000009</v>
      </c>
      <c r="K11" s="36"/>
      <c r="L11" s="57"/>
      <c r="M11" s="57"/>
      <c r="N11" s="57"/>
    </row>
    <row r="12" spans="1:14" ht="98.25" customHeight="1" x14ac:dyDescent="0.25">
      <c r="A12" s="43" t="s">
        <v>48</v>
      </c>
      <c r="B12" s="49" t="s">
        <v>47</v>
      </c>
      <c r="C12" s="50"/>
      <c r="D12" s="51" t="s">
        <v>57</v>
      </c>
      <c r="E12" s="52"/>
      <c r="F12" s="38">
        <v>0.25</v>
      </c>
      <c r="G12" s="38">
        <v>0.25</v>
      </c>
      <c r="H12" s="35">
        <v>0.25</v>
      </c>
      <c r="I12" s="21"/>
      <c r="J12" s="48">
        <f>(G12*$E$6)</f>
        <v>51</v>
      </c>
      <c r="K12" s="36"/>
      <c r="L12" s="44"/>
      <c r="M12" s="45"/>
      <c r="N12" s="46"/>
    </row>
    <row r="13" spans="1:14" ht="162" customHeight="1" x14ac:dyDescent="0.25">
      <c r="A13" s="47" t="s">
        <v>46</v>
      </c>
      <c r="B13" s="49" t="s">
        <v>49</v>
      </c>
      <c r="C13" s="50"/>
      <c r="D13" s="49" t="s">
        <v>53</v>
      </c>
      <c r="E13" s="50"/>
      <c r="F13" s="38">
        <v>0.1</v>
      </c>
      <c r="G13" s="38">
        <v>0.1</v>
      </c>
      <c r="H13" s="38">
        <v>0.1</v>
      </c>
      <c r="I13" s="21"/>
      <c r="J13" s="48">
        <f t="shared" ref="J13" si="0">(G13*$E$6)</f>
        <v>20.400000000000002</v>
      </c>
      <c r="K13" s="36"/>
      <c r="L13" s="53" t="s">
        <v>43</v>
      </c>
      <c r="M13" s="54"/>
      <c r="N13" s="55"/>
    </row>
    <row r="14" spans="1:14" ht="21" customHeight="1" x14ac:dyDescent="0.25">
      <c r="B14" t="s">
        <v>43</v>
      </c>
      <c r="D14" s="22"/>
      <c r="F14" s="23">
        <f>SUM(F10:F13)</f>
        <v>1</v>
      </c>
      <c r="G14" s="77" t="s">
        <v>18</v>
      </c>
      <c r="H14" s="78"/>
      <c r="I14" s="79">
        <f>J13+J12+J11+J10</f>
        <v>204</v>
      </c>
      <c r="J14" s="80"/>
      <c r="K14"/>
      <c r="L14" s="24"/>
      <c r="M14" s="24"/>
    </row>
    <row r="15" spans="1:14" ht="18.75" x14ac:dyDescent="0.25">
      <c r="A15" s="24"/>
      <c r="B15" s="24"/>
      <c r="C15" s="24"/>
      <c r="D15" s="24"/>
      <c r="E15" s="24"/>
      <c r="F15" s="25"/>
      <c r="G15" s="81" t="s">
        <v>17</v>
      </c>
      <c r="H15" s="82"/>
      <c r="I15" s="83" t="e">
        <f>IF(#REF!="","",SUM(I10:I13))</f>
        <v>#REF!</v>
      </c>
      <c r="J15" s="84"/>
      <c r="K15"/>
      <c r="L15" s="24"/>
      <c r="M15" s="24"/>
    </row>
    <row r="16" spans="1:14" ht="18.75" x14ac:dyDescent="0.25">
      <c r="A16" s="24"/>
      <c r="B16" s="24"/>
      <c r="C16" s="24"/>
      <c r="D16" s="24"/>
      <c r="E16" s="24"/>
      <c r="F16" s="25"/>
      <c r="G16" s="25"/>
      <c r="H16" s="25"/>
      <c r="I16" s="25"/>
      <c r="J16" s="25"/>
      <c r="K16" s="41"/>
      <c r="L16" s="25"/>
      <c r="M16" s="25"/>
    </row>
    <row r="17" spans="1:13" ht="24" customHeight="1" x14ac:dyDescent="0.25">
      <c r="A17" s="85" t="s">
        <v>36</v>
      </c>
      <c r="B17" s="85"/>
      <c r="C17" s="85"/>
      <c r="D17" s="85"/>
      <c r="E17" s="85"/>
      <c r="F17" s="85"/>
      <c r="G17" s="85"/>
      <c r="H17" s="85"/>
      <c r="I17" s="85"/>
      <c r="J17" s="85"/>
      <c r="K17" s="85"/>
      <c r="L17" s="85"/>
      <c r="M17" s="10"/>
    </row>
    <row r="18" spans="1:13" ht="118.5" customHeight="1" x14ac:dyDescent="0.25">
      <c r="A18" s="76"/>
      <c r="B18" s="76"/>
      <c r="C18" s="76"/>
      <c r="D18" s="76"/>
      <c r="E18" s="76"/>
      <c r="F18" s="76"/>
      <c r="G18" s="76"/>
      <c r="H18" s="76"/>
      <c r="I18" s="76"/>
      <c r="J18" s="76"/>
      <c r="K18" s="76"/>
      <c r="L18" s="76"/>
      <c r="M18" s="37"/>
    </row>
    <row r="19" spans="1:13" ht="15.75" x14ac:dyDescent="0.25">
      <c r="A19" s="15"/>
      <c r="B19" s="15"/>
      <c r="C19" s="15"/>
      <c r="D19" s="15"/>
      <c r="E19" s="15"/>
      <c r="F19" s="15"/>
      <c r="G19" s="15"/>
      <c r="H19" s="15"/>
      <c r="I19" s="15"/>
      <c r="J19" s="15"/>
      <c r="K19" s="15"/>
      <c r="L19" s="15"/>
      <c r="M19" s="15"/>
    </row>
    <row r="20" spans="1:13" x14ac:dyDescent="0.25">
      <c r="F20"/>
      <c r="G20"/>
      <c r="H20"/>
      <c r="I20"/>
      <c r="J20"/>
      <c r="K20"/>
    </row>
    <row r="21" spans="1:13" x14ac:dyDescent="0.25">
      <c r="F21"/>
      <c r="G21"/>
      <c r="H21"/>
      <c r="I21"/>
      <c r="J21"/>
      <c r="K21"/>
    </row>
    <row r="22" spans="1:13" ht="15.75" thickBot="1" x14ac:dyDescent="0.3">
      <c r="F22"/>
      <c r="G22"/>
      <c r="H22"/>
      <c r="I22"/>
      <c r="J22"/>
      <c r="K22"/>
    </row>
    <row r="23" spans="1:13" ht="15.75" thickBot="1" x14ac:dyDescent="0.3">
      <c r="B23" s="96" t="s">
        <v>16</v>
      </c>
      <c r="C23" s="97"/>
      <c r="F23" s="98" t="s">
        <v>15</v>
      </c>
      <c r="G23" s="99"/>
      <c r="H23" s="99"/>
      <c r="I23" s="99"/>
      <c r="J23" s="100"/>
      <c r="K23"/>
    </row>
    <row r="24" spans="1:13" x14ac:dyDescent="0.25">
      <c r="B24" s="26" t="s">
        <v>14</v>
      </c>
      <c r="C24" s="32" t="s">
        <v>50</v>
      </c>
      <c r="F24" s="86" t="s">
        <v>14</v>
      </c>
      <c r="G24" s="87"/>
      <c r="H24" s="88"/>
      <c r="I24" s="89"/>
      <c r="J24" s="90"/>
      <c r="K24"/>
    </row>
    <row r="25" spans="1:13" x14ac:dyDescent="0.25">
      <c r="B25" s="27" t="s">
        <v>13</v>
      </c>
      <c r="C25" s="2" t="s">
        <v>55</v>
      </c>
      <c r="F25" s="86" t="s">
        <v>13</v>
      </c>
      <c r="G25" s="87"/>
      <c r="H25" s="88"/>
      <c r="I25" s="89"/>
      <c r="J25" s="90"/>
      <c r="K25"/>
    </row>
    <row r="26" spans="1:13" ht="15.75" thickBot="1" x14ac:dyDescent="0.3">
      <c r="B26" s="28" t="s">
        <v>12</v>
      </c>
      <c r="C26" s="1"/>
      <c r="F26" s="91" t="s">
        <v>12</v>
      </c>
      <c r="G26" s="92"/>
      <c r="H26" s="93"/>
      <c r="I26" s="94"/>
      <c r="J26" s="95"/>
      <c r="K26"/>
    </row>
    <row r="27" spans="1:13" s="12" customFormat="1" ht="15.75" thickBot="1" x14ac:dyDescent="0.3">
      <c r="A27"/>
      <c r="B27" s="96" t="s">
        <v>16</v>
      </c>
      <c r="C27" s="97"/>
      <c r="D27"/>
      <c r="E27"/>
      <c r="F27" s="98" t="s">
        <v>15</v>
      </c>
      <c r="G27" s="99"/>
      <c r="H27" s="99"/>
      <c r="I27" s="99"/>
      <c r="J27" s="100"/>
      <c r="K27"/>
      <c r="L27"/>
      <c r="M27"/>
    </row>
    <row r="28" spans="1:13" x14ac:dyDescent="0.25">
      <c r="B28" s="26" t="s">
        <v>14</v>
      </c>
      <c r="C28" s="3"/>
      <c r="F28" s="86" t="s">
        <v>14</v>
      </c>
      <c r="G28" s="87"/>
      <c r="H28" s="88"/>
      <c r="I28" s="89"/>
      <c r="J28" s="90"/>
      <c r="K28" s="29"/>
    </row>
    <row r="29" spans="1:13" x14ac:dyDescent="0.25">
      <c r="B29" s="27" t="s">
        <v>13</v>
      </c>
      <c r="C29" s="2"/>
      <c r="F29" s="86" t="s">
        <v>13</v>
      </c>
      <c r="G29" s="87"/>
      <c r="H29" s="88"/>
      <c r="I29" s="89"/>
      <c r="J29" s="90"/>
      <c r="K29" s="29"/>
    </row>
    <row r="30" spans="1:13" ht="15.75" thickBot="1" x14ac:dyDescent="0.3">
      <c r="B30" s="28" t="s">
        <v>12</v>
      </c>
      <c r="C30" s="1"/>
      <c r="F30" s="91" t="s">
        <v>12</v>
      </c>
      <c r="G30" s="92"/>
      <c r="H30" s="93"/>
      <c r="I30" s="94"/>
      <c r="J30" s="95"/>
      <c r="K30" s="29"/>
    </row>
    <row r="33" spans="6:17" x14ac:dyDescent="0.25">
      <c r="Q33" t="s">
        <v>11</v>
      </c>
    </row>
    <row r="34" spans="6:17" x14ac:dyDescent="0.25">
      <c r="Q34" t="s">
        <v>10</v>
      </c>
    </row>
    <row r="35" spans="6:17" x14ac:dyDescent="0.25">
      <c r="F35"/>
      <c r="G35"/>
      <c r="H35"/>
      <c r="I35"/>
      <c r="J35"/>
      <c r="K35"/>
      <c r="Q35" t="s">
        <v>9</v>
      </c>
    </row>
    <row r="36" spans="6:17" x14ac:dyDescent="0.25">
      <c r="F36"/>
      <c r="G36"/>
      <c r="H36"/>
      <c r="I36"/>
      <c r="J36"/>
      <c r="K36"/>
      <c r="Q36" t="s">
        <v>8</v>
      </c>
    </row>
    <row r="37" spans="6:17" x14ac:dyDescent="0.25">
      <c r="F37"/>
      <c r="G37"/>
      <c r="H37"/>
      <c r="I37"/>
      <c r="J37"/>
      <c r="K37"/>
      <c r="Q37" t="s">
        <v>7</v>
      </c>
    </row>
    <row r="38" spans="6:17" x14ac:dyDescent="0.25">
      <c r="F38"/>
      <c r="G38"/>
      <c r="H38"/>
      <c r="I38"/>
      <c r="J38"/>
      <c r="K38"/>
      <c r="Q38" t="s">
        <v>6</v>
      </c>
    </row>
    <row r="39" spans="6:17" x14ac:dyDescent="0.25">
      <c r="F39"/>
      <c r="G39"/>
      <c r="H39"/>
      <c r="I39"/>
      <c r="J39"/>
      <c r="K39"/>
      <c r="Q39" t="s">
        <v>5</v>
      </c>
    </row>
    <row r="40" spans="6:17" x14ac:dyDescent="0.25">
      <c r="F40"/>
      <c r="G40"/>
      <c r="H40"/>
      <c r="I40"/>
      <c r="J40"/>
      <c r="K40"/>
      <c r="Q40" t="s">
        <v>4</v>
      </c>
    </row>
    <row r="41" spans="6:17" x14ac:dyDescent="0.25">
      <c r="F41"/>
      <c r="G41"/>
      <c r="H41"/>
      <c r="I41"/>
      <c r="J41"/>
      <c r="K41"/>
      <c r="Q41" t="s">
        <v>3</v>
      </c>
    </row>
    <row r="42" spans="6:17" x14ac:dyDescent="0.25">
      <c r="F42"/>
      <c r="G42"/>
      <c r="H42"/>
      <c r="I42"/>
      <c r="J42"/>
      <c r="K42"/>
      <c r="Q42" t="s">
        <v>2</v>
      </c>
    </row>
    <row r="43" spans="6:17" x14ac:dyDescent="0.25">
      <c r="F43"/>
      <c r="G43"/>
      <c r="H43"/>
      <c r="I43"/>
      <c r="J43"/>
      <c r="K43"/>
      <c r="Q43" t="s">
        <v>1</v>
      </c>
    </row>
    <row r="44" spans="6:17" x14ac:dyDescent="0.25">
      <c r="F44"/>
      <c r="G44"/>
      <c r="H44"/>
      <c r="I44"/>
      <c r="J44"/>
      <c r="K44"/>
      <c r="Q44" t="s">
        <v>0</v>
      </c>
    </row>
  </sheetData>
  <sheetProtection formatCells="0" formatColumns="0"/>
  <mergeCells count="40">
    <mergeCell ref="B27:C27"/>
    <mergeCell ref="F27:J27"/>
    <mergeCell ref="F28:G28"/>
    <mergeCell ref="H28:J28"/>
    <mergeCell ref="B23:C23"/>
    <mergeCell ref="F23:J23"/>
    <mergeCell ref="F24:G24"/>
    <mergeCell ref="H24:J24"/>
    <mergeCell ref="F25:G25"/>
    <mergeCell ref="H25:J25"/>
    <mergeCell ref="F29:G29"/>
    <mergeCell ref="H29:J29"/>
    <mergeCell ref="F30:G30"/>
    <mergeCell ref="H30:J30"/>
    <mergeCell ref="F26:G26"/>
    <mergeCell ref="H26:J26"/>
    <mergeCell ref="A18:L18"/>
    <mergeCell ref="G14:H14"/>
    <mergeCell ref="I14:J14"/>
    <mergeCell ref="G15:H15"/>
    <mergeCell ref="I15:J15"/>
    <mergeCell ref="A17:L17"/>
    <mergeCell ref="A1:A3"/>
    <mergeCell ref="B1:K3"/>
    <mergeCell ref="M1:N1"/>
    <mergeCell ref="M3:N3"/>
    <mergeCell ref="B9:C9"/>
    <mergeCell ref="D9:E9"/>
    <mergeCell ref="L9:N9"/>
    <mergeCell ref="B13:C13"/>
    <mergeCell ref="D13:E13"/>
    <mergeCell ref="D10:E10"/>
    <mergeCell ref="L10:N10"/>
    <mergeCell ref="D11:E11"/>
    <mergeCell ref="L11:N11"/>
    <mergeCell ref="L13:N13"/>
    <mergeCell ref="B10:C10"/>
    <mergeCell ref="B12:C12"/>
    <mergeCell ref="D12:E12"/>
    <mergeCell ref="B11:C11"/>
  </mergeCells>
  <dataValidations count="1">
    <dataValidation type="list" allowBlank="1" showInputMessage="1" showErrorMessage="1" sqref="H5 J7">
      <formula1>$Q$32:$Q$44</formula1>
    </dataValidation>
  </dataValidations>
  <pageMargins left="0.55118110236220474" right="0.23622047244094491" top="0.74803149606299213" bottom="0.74803149606299213" header="0.31496062992125984" footer="0.31496062992125984"/>
  <pageSetup scale="33" orientation="landscape" r:id="rId1"/>
  <headerFooter>
    <oddHeader>&amp;R&amp;"-,Negrita"PAG &amp;P / &amp;N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Abril</vt:lpstr>
      <vt:lpstr>Abril!Área_de_impresión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Jaimeliz Millan</dc:creator>
  <cp:lastModifiedBy>Laptop-Sistemas</cp:lastModifiedBy>
  <cp:lastPrinted>2022-06-06T15:05:24Z</cp:lastPrinted>
  <dcterms:created xsi:type="dcterms:W3CDTF">2015-03-13T22:23:17Z</dcterms:created>
  <dcterms:modified xsi:type="dcterms:W3CDTF">2026-05-13T15:55:04Z</dcterms:modified>
</cp:coreProperties>
</file>