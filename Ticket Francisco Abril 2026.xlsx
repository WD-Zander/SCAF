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-Sistemas\Desktop\Nueva carpeta\Indicadores\"/>
    </mc:Choice>
  </mc:AlternateContent>
  <bookViews>
    <workbookView xWindow="0" yWindow="0" windowWidth="20490" windowHeight="7650"/>
  </bookViews>
  <sheets>
    <sheet name="Febrero" sheetId="9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I3" i="9" s="1"/>
  <c r="H4" i="9"/>
  <c r="H5" i="9"/>
  <c r="I5" i="9" s="1"/>
  <c r="H6" i="9"/>
  <c r="H7" i="9"/>
  <c r="H8" i="9"/>
  <c r="H9" i="9"/>
  <c r="I9" i="9" s="1"/>
  <c r="H10" i="9"/>
  <c r="H11" i="9"/>
  <c r="I11" i="9" s="1"/>
  <c r="H12" i="9"/>
  <c r="I12" i="9" s="1"/>
  <c r="H13" i="9"/>
  <c r="I13" i="9" s="1"/>
  <c r="H14" i="9"/>
  <c r="H15" i="9"/>
  <c r="H16" i="9"/>
  <c r="H17" i="9"/>
  <c r="I17" i="9" s="1"/>
  <c r="H18" i="9"/>
  <c r="H19" i="9"/>
  <c r="I19" i="9" s="1"/>
  <c r="H20" i="9"/>
  <c r="I20" i="9" s="1"/>
  <c r="H21" i="9"/>
  <c r="I21" i="9" s="1"/>
  <c r="H22" i="9"/>
  <c r="H23" i="9"/>
  <c r="I23" i="9" s="1"/>
  <c r="H24" i="9"/>
  <c r="I24" i="9" s="1"/>
  <c r="H25" i="9"/>
  <c r="I25" i="9" s="1"/>
  <c r="H26" i="9"/>
  <c r="H27" i="9"/>
  <c r="I27" i="9" s="1"/>
  <c r="H28" i="9"/>
  <c r="I28" i="9" s="1"/>
  <c r="H29" i="9"/>
  <c r="I29" i="9" s="1"/>
  <c r="H30" i="9"/>
  <c r="H31" i="9"/>
  <c r="H32" i="9"/>
  <c r="I32" i="9" s="1"/>
  <c r="H33" i="9"/>
  <c r="I33" i="9" s="1"/>
  <c r="H34" i="9"/>
  <c r="H35" i="9"/>
  <c r="I35" i="9" s="1"/>
  <c r="H36" i="9"/>
  <c r="I36" i="9" s="1"/>
  <c r="H37" i="9"/>
  <c r="I37" i="9" s="1"/>
  <c r="H38" i="9"/>
  <c r="H39" i="9"/>
  <c r="I39" i="9" s="1"/>
  <c r="H40" i="9"/>
  <c r="H41" i="9"/>
  <c r="I41" i="9" s="1"/>
  <c r="H42" i="9"/>
  <c r="I42" i="9" s="1"/>
  <c r="H43" i="9"/>
  <c r="I43" i="9" s="1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H55" i="9"/>
  <c r="H56" i="9"/>
  <c r="H57" i="9"/>
  <c r="I57" i="9" s="1"/>
  <c r="H58" i="9"/>
  <c r="I58" i="9" s="1"/>
  <c r="H59" i="9"/>
  <c r="H60" i="9"/>
  <c r="I60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H69" i="9"/>
  <c r="I69" i="9" s="1"/>
  <c r="H70" i="9"/>
  <c r="I70" i="9" s="1"/>
  <c r="H71" i="9"/>
  <c r="I71" i="9" s="1"/>
  <c r="H72" i="9"/>
  <c r="I72" i="9" s="1"/>
  <c r="H73" i="9"/>
  <c r="I73" i="9" s="1"/>
  <c r="H74" i="9"/>
  <c r="H75" i="9"/>
  <c r="H76" i="9"/>
  <c r="I76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H83" i="9"/>
  <c r="I83" i="9" s="1"/>
  <c r="H84" i="9"/>
  <c r="I84" i="9" s="1"/>
  <c r="H85" i="9"/>
  <c r="I85" i="9" s="1"/>
  <c r="H86" i="9"/>
  <c r="I86" i="9" s="1"/>
  <c r="H87" i="9"/>
  <c r="I87" i="9" s="1"/>
  <c r="H88" i="9"/>
  <c r="I88" i="9" s="1"/>
  <c r="H89" i="9"/>
  <c r="I89" i="9" s="1"/>
  <c r="H90" i="9"/>
  <c r="I90" i="9" s="1"/>
  <c r="H91" i="9"/>
  <c r="I91" i="9" s="1"/>
  <c r="H92" i="9"/>
  <c r="I92" i="9" s="1"/>
  <c r="H93" i="9"/>
  <c r="I93" i="9" s="1"/>
  <c r="H94" i="9"/>
  <c r="H95" i="9"/>
  <c r="I95" i="9" s="1"/>
  <c r="H96" i="9"/>
  <c r="I96" i="9" s="1"/>
  <c r="H97" i="9"/>
  <c r="I97" i="9" s="1"/>
  <c r="H98" i="9"/>
  <c r="I98" i="9" s="1"/>
  <c r="H99" i="9"/>
  <c r="H100" i="9"/>
  <c r="I100" i="9" s="1"/>
  <c r="H101" i="9"/>
  <c r="I101" i="9" s="1"/>
  <c r="H102" i="9"/>
  <c r="I102" i="9" s="1"/>
  <c r="H103" i="9"/>
  <c r="I103" i="9" s="1"/>
  <c r="H104" i="9"/>
  <c r="I104" i="9" s="1"/>
  <c r="H105" i="9"/>
  <c r="I105" i="9" s="1"/>
  <c r="H106" i="9"/>
  <c r="I106" i="9" s="1"/>
  <c r="H107" i="9"/>
  <c r="I107" i="9" s="1"/>
  <c r="H108" i="9"/>
  <c r="I108" i="9" s="1"/>
  <c r="H109" i="9"/>
  <c r="I109" i="9" s="1"/>
  <c r="H110" i="9"/>
  <c r="I110" i="9" s="1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18" i="9"/>
  <c r="I118" i="9" s="1"/>
  <c r="H119" i="9"/>
  <c r="I119" i="9" s="1"/>
  <c r="H120" i="9"/>
  <c r="I120" i="9" s="1"/>
  <c r="H121" i="9"/>
  <c r="I121" i="9" s="1"/>
  <c r="H122" i="9"/>
  <c r="I122" i="9" s="1"/>
  <c r="H123" i="9"/>
  <c r="I123" i="9" s="1"/>
  <c r="H124" i="9"/>
  <c r="I124" i="9" s="1"/>
  <c r="H125" i="9"/>
  <c r="I125" i="9" s="1"/>
  <c r="H126" i="9"/>
  <c r="I126" i="9" s="1"/>
  <c r="H127" i="9"/>
  <c r="H128" i="9"/>
  <c r="I128" i="9" s="1"/>
  <c r="H129" i="9"/>
  <c r="I129" i="9" s="1"/>
  <c r="H130" i="9"/>
  <c r="I130" i="9" s="1"/>
  <c r="H131" i="9"/>
  <c r="I131" i="9" s="1"/>
  <c r="H132" i="9"/>
  <c r="I132" i="9" s="1"/>
  <c r="H133" i="9"/>
  <c r="I133" i="9" s="1"/>
  <c r="H134" i="9"/>
  <c r="H135" i="9"/>
  <c r="I135" i="9" s="1"/>
  <c r="H136" i="9"/>
  <c r="I136" i="9" s="1"/>
  <c r="H137" i="9"/>
  <c r="I137" i="9" s="1"/>
  <c r="H138" i="9"/>
  <c r="I138" i="9" s="1"/>
  <c r="H139" i="9"/>
  <c r="I139" i="9" s="1"/>
  <c r="H140" i="9"/>
  <c r="I140" i="9" s="1"/>
  <c r="H141" i="9"/>
  <c r="I141" i="9" s="1"/>
  <c r="H142" i="9"/>
  <c r="H143" i="9"/>
  <c r="I143" i="9" s="1"/>
  <c r="H144" i="9"/>
  <c r="I144" i="9" s="1"/>
  <c r="H145" i="9"/>
  <c r="I145" i="9" s="1"/>
  <c r="H146" i="9"/>
  <c r="I146" i="9" s="1"/>
  <c r="H147" i="9"/>
  <c r="H148" i="9"/>
  <c r="I148" i="9" s="1"/>
  <c r="H149" i="9"/>
  <c r="I149" i="9" s="1"/>
  <c r="H150" i="9"/>
  <c r="I150" i="9" s="1"/>
  <c r="H151" i="9"/>
  <c r="I151" i="9" s="1"/>
  <c r="H152" i="9"/>
  <c r="I152" i="9" s="1"/>
  <c r="H153" i="9"/>
  <c r="I153" i="9" s="1"/>
  <c r="H154" i="9"/>
  <c r="H155" i="9"/>
  <c r="I155" i="9" s="1"/>
  <c r="H156" i="9"/>
  <c r="I156" i="9" s="1"/>
  <c r="H157" i="9"/>
  <c r="I157" i="9" s="1"/>
  <c r="H158" i="9"/>
  <c r="I158" i="9" s="1"/>
  <c r="H159" i="9"/>
  <c r="H160" i="9"/>
  <c r="I160" i="9" s="1"/>
  <c r="H161" i="9"/>
  <c r="I161" i="9" s="1"/>
  <c r="H162" i="9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69" i="9"/>
  <c r="I169" i="9" s="1"/>
  <c r="H170" i="9"/>
  <c r="I170" i="9" s="1"/>
  <c r="H171" i="9"/>
  <c r="I171" i="9" s="1"/>
  <c r="H172" i="9"/>
  <c r="I172" i="9" s="1"/>
  <c r="H173" i="9"/>
  <c r="I173" i="9" s="1"/>
  <c r="H174" i="9"/>
  <c r="I174" i="9" s="1"/>
  <c r="H175" i="9"/>
  <c r="H176" i="9"/>
  <c r="I176" i="9" s="1"/>
  <c r="H177" i="9"/>
  <c r="I177" i="9" s="1"/>
  <c r="H178" i="9"/>
  <c r="I178" i="9" s="1"/>
  <c r="H179" i="9"/>
  <c r="I179" i="9" s="1"/>
  <c r="H180" i="9"/>
  <c r="I180" i="9" s="1"/>
  <c r="H181" i="9"/>
  <c r="I181" i="9" s="1"/>
  <c r="H182" i="9"/>
  <c r="H183" i="9"/>
  <c r="I183" i="9" s="1"/>
  <c r="H184" i="9"/>
  <c r="I184" i="9" s="1"/>
  <c r="H185" i="9"/>
  <c r="I185" i="9" s="1"/>
  <c r="H186" i="9"/>
  <c r="I186" i="9" s="1"/>
  <c r="H187" i="9"/>
  <c r="H188" i="9"/>
  <c r="I188" i="9" s="1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I194" i="9" s="1"/>
  <c r="H195" i="9"/>
  <c r="H196" i="9"/>
  <c r="I196" i="9" s="1"/>
  <c r="H197" i="9"/>
  <c r="I197" i="9" s="1"/>
  <c r="H198" i="9"/>
  <c r="I198" i="9" s="1"/>
  <c r="H199" i="9"/>
  <c r="I199" i="9" s="1"/>
  <c r="H200" i="9"/>
  <c r="I200" i="9" s="1"/>
  <c r="H201" i="9"/>
  <c r="I201" i="9" s="1"/>
  <c r="H202" i="9"/>
  <c r="H203" i="9"/>
  <c r="H204" i="9"/>
  <c r="I204" i="9" s="1"/>
  <c r="H205" i="9"/>
  <c r="I205" i="9" s="1"/>
  <c r="H206" i="9"/>
  <c r="I206" i="9" s="1"/>
  <c r="H207" i="9"/>
  <c r="I207" i="9" s="1"/>
  <c r="H208" i="9"/>
  <c r="I208" i="9" s="1"/>
  <c r="H209" i="9"/>
  <c r="I209" i="9" s="1"/>
  <c r="H210" i="9"/>
  <c r="H211" i="9"/>
  <c r="I211" i="9" s="1"/>
  <c r="H212" i="9"/>
  <c r="I212" i="9" s="1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I218" i="9" s="1"/>
  <c r="H219" i="9"/>
  <c r="I219" i="9" s="1"/>
  <c r="H220" i="9"/>
  <c r="I220" i="9" s="1"/>
  <c r="H221" i="9"/>
  <c r="I221" i="9" s="1"/>
  <c r="H222" i="9"/>
  <c r="H223" i="9"/>
  <c r="I223" i="9" s="1"/>
  <c r="H224" i="9"/>
  <c r="I224" i="9" s="1"/>
  <c r="H225" i="9"/>
  <c r="I225" i="9" s="1"/>
  <c r="H226" i="9"/>
  <c r="I226" i="9" s="1"/>
  <c r="H227" i="9"/>
  <c r="I227" i="9" s="1"/>
  <c r="H228" i="9"/>
  <c r="I228" i="9" s="1"/>
  <c r="H229" i="9"/>
  <c r="I229" i="9" s="1"/>
  <c r="H230" i="9"/>
  <c r="I230" i="9" s="1"/>
  <c r="H231" i="9"/>
  <c r="I231" i="9" s="1"/>
  <c r="H232" i="9"/>
  <c r="I232" i="9" s="1"/>
  <c r="H233" i="9"/>
  <c r="I233" i="9" s="1"/>
  <c r="H234" i="9"/>
  <c r="I234" i="9" s="1"/>
  <c r="H235" i="9"/>
  <c r="I235" i="9" s="1"/>
  <c r="H236" i="9"/>
  <c r="I236" i="9" s="1"/>
  <c r="H237" i="9"/>
  <c r="I237" i="9" s="1"/>
  <c r="H238" i="9"/>
  <c r="I238" i="9" s="1"/>
  <c r="H239" i="9"/>
  <c r="H240" i="9"/>
  <c r="I240" i="9" s="1"/>
  <c r="H241" i="9"/>
  <c r="I241" i="9" s="1"/>
  <c r="H242" i="9"/>
  <c r="I242" i="9" s="1"/>
  <c r="H243" i="9"/>
  <c r="I243" i="9" s="1"/>
  <c r="H244" i="9"/>
  <c r="I244" i="9" s="1"/>
  <c r="H245" i="9"/>
  <c r="I245" i="9" s="1"/>
  <c r="H246" i="9"/>
  <c r="H247" i="9"/>
  <c r="I247" i="9" s="1"/>
  <c r="H248" i="9"/>
  <c r="I248" i="9" s="1"/>
  <c r="H249" i="9"/>
  <c r="I249" i="9" s="1"/>
  <c r="H250" i="9"/>
  <c r="I250" i="9" s="1"/>
  <c r="H251" i="9"/>
  <c r="I251" i="9" s="1"/>
  <c r="H252" i="9"/>
  <c r="I252" i="9" s="1"/>
  <c r="H253" i="9"/>
  <c r="I253" i="9" s="1"/>
  <c r="H254" i="9"/>
  <c r="H255" i="9"/>
  <c r="I255" i="9" s="1"/>
  <c r="H256" i="9"/>
  <c r="I256" i="9" s="1"/>
  <c r="H257" i="9"/>
  <c r="I257" i="9" s="1"/>
  <c r="H258" i="9"/>
  <c r="I258" i="9" s="1"/>
  <c r="H259" i="9"/>
  <c r="I259" i="9" s="1"/>
  <c r="H260" i="9"/>
  <c r="I260" i="9" s="1"/>
  <c r="H261" i="9"/>
  <c r="I261" i="9" s="1"/>
  <c r="H262" i="9"/>
  <c r="I262" i="9" s="1"/>
  <c r="H263" i="9"/>
  <c r="I263" i="9" s="1"/>
  <c r="I2" i="9"/>
  <c r="I4" i="9"/>
  <c r="I6" i="9"/>
  <c r="I7" i="9"/>
  <c r="I8" i="9"/>
  <c r="I10" i="9"/>
  <c r="I14" i="9"/>
  <c r="I15" i="9"/>
  <c r="I16" i="9"/>
  <c r="I18" i="9"/>
  <c r="I22" i="9"/>
  <c r="I26" i="9"/>
  <c r="I30" i="9"/>
  <c r="I31" i="9"/>
  <c r="I34" i="9"/>
  <c r="I38" i="9"/>
  <c r="I40" i="9"/>
  <c r="I54" i="9"/>
  <c r="I55" i="9"/>
  <c r="I56" i="9"/>
  <c r="I59" i="9"/>
  <c r="I68" i="9"/>
  <c r="I74" i="9"/>
  <c r="I75" i="9"/>
  <c r="I82" i="9"/>
  <c r="I94" i="9"/>
  <c r="I99" i="9"/>
  <c r="I127" i="9"/>
  <c r="I134" i="9"/>
  <c r="I142" i="9"/>
  <c r="I147" i="9"/>
  <c r="I154" i="9"/>
  <c r="I159" i="9"/>
  <c r="I162" i="9"/>
  <c r="I175" i="9"/>
  <c r="I182" i="9"/>
  <c r="I187" i="9"/>
  <c r="I195" i="9"/>
  <c r="I202" i="9"/>
  <c r="I203" i="9"/>
  <c r="I210" i="9"/>
  <c r="I222" i="9"/>
  <c r="I239" i="9"/>
  <c r="I246" i="9"/>
  <c r="I254" i="9"/>
  <c r="J159" i="9" l="1"/>
  <c r="J2" i="9" l="1"/>
  <c r="K2" i="9" s="1"/>
  <c r="J3" i="9"/>
  <c r="K3" i="9" s="1"/>
  <c r="J4" i="9"/>
  <c r="K4" i="9" s="1"/>
  <c r="J5" i="9"/>
  <c r="K5" i="9" s="1"/>
  <c r="J6" i="9"/>
  <c r="K6" i="9" s="1"/>
  <c r="J7" i="9"/>
  <c r="K7" i="9" s="1"/>
  <c r="J8" i="9"/>
  <c r="K8" i="9" s="1"/>
  <c r="J9" i="9"/>
  <c r="K9" i="9" s="1"/>
  <c r="J10" i="9"/>
  <c r="K10" i="9" s="1"/>
  <c r="J11" i="9"/>
  <c r="K11" i="9" s="1"/>
  <c r="J12" i="9"/>
  <c r="K12" i="9" s="1"/>
  <c r="J13" i="9"/>
  <c r="K13" i="9" s="1"/>
  <c r="J14" i="9"/>
  <c r="K14" i="9" s="1"/>
  <c r="J15" i="9"/>
  <c r="K15" i="9" s="1"/>
  <c r="J16" i="9"/>
  <c r="K16" i="9" s="1"/>
  <c r="J17" i="9"/>
  <c r="K17" i="9" s="1"/>
  <c r="J18" i="9"/>
  <c r="K18" i="9" s="1"/>
  <c r="J19" i="9"/>
  <c r="K19" i="9" s="1"/>
  <c r="J20" i="9"/>
  <c r="K20" i="9" s="1"/>
  <c r="J21" i="9"/>
  <c r="K21" i="9" s="1"/>
  <c r="J22" i="9"/>
  <c r="K22" i="9" s="1"/>
  <c r="J23" i="9"/>
  <c r="K23" i="9" s="1"/>
  <c r="J24" i="9"/>
  <c r="K24" i="9" s="1"/>
  <c r="J25" i="9"/>
  <c r="K25" i="9" s="1"/>
  <c r="J26" i="9"/>
  <c r="K26" i="9" s="1"/>
  <c r="J27" i="9"/>
  <c r="K27" i="9" s="1"/>
  <c r="J28" i="9"/>
  <c r="K28" i="9" s="1"/>
  <c r="J29" i="9"/>
  <c r="K29" i="9" s="1"/>
  <c r="J30" i="9"/>
  <c r="K30" i="9" s="1"/>
  <c r="J31" i="9"/>
  <c r="K31" i="9" s="1"/>
  <c r="J32" i="9"/>
  <c r="K32" i="9" s="1"/>
  <c r="J33" i="9"/>
  <c r="K33" i="9" s="1"/>
  <c r="J34" i="9"/>
  <c r="K34" i="9" s="1"/>
  <c r="J35" i="9"/>
  <c r="K35" i="9" s="1"/>
  <c r="J36" i="9"/>
  <c r="K36" i="9" s="1"/>
  <c r="J37" i="9"/>
  <c r="K37" i="9" s="1"/>
  <c r="J38" i="9"/>
  <c r="K38" i="9" s="1"/>
  <c r="J39" i="9"/>
  <c r="K39" i="9" s="1"/>
  <c r="J40" i="9"/>
  <c r="K40" i="9" s="1"/>
  <c r="J41" i="9"/>
  <c r="K41" i="9" s="1"/>
  <c r="J42" i="9"/>
  <c r="K42" i="9" s="1"/>
  <c r="J43" i="9"/>
  <c r="K43" i="9" s="1"/>
  <c r="J44" i="9"/>
  <c r="K44" i="9" s="1"/>
  <c r="J45" i="9"/>
  <c r="K45" i="9" s="1"/>
  <c r="J46" i="9"/>
  <c r="K46" i="9" s="1"/>
  <c r="J47" i="9"/>
  <c r="K47" i="9" s="1"/>
  <c r="J48" i="9"/>
  <c r="K48" i="9" s="1"/>
  <c r="J49" i="9"/>
  <c r="K49" i="9" s="1"/>
  <c r="J50" i="9"/>
  <c r="K50" i="9" s="1"/>
  <c r="J51" i="9"/>
  <c r="K51" i="9" s="1"/>
  <c r="J52" i="9"/>
  <c r="K52" i="9" s="1"/>
  <c r="J53" i="9"/>
  <c r="K53" i="9" s="1"/>
  <c r="J54" i="9"/>
  <c r="K54" i="9" s="1"/>
  <c r="J55" i="9"/>
  <c r="K55" i="9" s="1"/>
  <c r="J56" i="9"/>
  <c r="K56" i="9" s="1"/>
  <c r="J57" i="9"/>
  <c r="K57" i="9" s="1"/>
  <c r="J58" i="9"/>
  <c r="K58" i="9" s="1"/>
  <c r="J59" i="9"/>
  <c r="K59" i="9" s="1"/>
  <c r="J60" i="9"/>
  <c r="K60" i="9" s="1"/>
  <c r="J61" i="9"/>
  <c r="K61" i="9" s="1"/>
  <c r="J62" i="9"/>
  <c r="K62" i="9" s="1"/>
  <c r="J63" i="9"/>
  <c r="K63" i="9" s="1"/>
  <c r="J64" i="9"/>
  <c r="K64" i="9" s="1"/>
  <c r="J65" i="9"/>
  <c r="K65" i="9" s="1"/>
  <c r="J66" i="9"/>
  <c r="K66" i="9" s="1"/>
  <c r="J67" i="9"/>
  <c r="K67" i="9" s="1"/>
  <c r="J68" i="9"/>
  <c r="K68" i="9" s="1"/>
  <c r="J69" i="9"/>
  <c r="K69" i="9" s="1"/>
  <c r="J70" i="9"/>
  <c r="K70" i="9" s="1"/>
  <c r="J71" i="9"/>
  <c r="K71" i="9" s="1"/>
  <c r="J72" i="9"/>
  <c r="K72" i="9" s="1"/>
  <c r="J73" i="9"/>
  <c r="K73" i="9" s="1"/>
  <c r="J74" i="9"/>
  <c r="K74" i="9" s="1"/>
  <c r="J75" i="9"/>
  <c r="K75" i="9" s="1"/>
  <c r="J76" i="9"/>
  <c r="K76" i="9" s="1"/>
  <c r="J77" i="9"/>
  <c r="K77" i="9" s="1"/>
  <c r="J78" i="9"/>
  <c r="K78" i="9" s="1"/>
  <c r="J79" i="9"/>
  <c r="K79" i="9" s="1"/>
  <c r="J80" i="9"/>
  <c r="K80" i="9" s="1"/>
  <c r="J81" i="9"/>
  <c r="K81" i="9" s="1"/>
  <c r="J82" i="9"/>
  <c r="K82" i="9" s="1"/>
  <c r="J83" i="9"/>
  <c r="K83" i="9" s="1"/>
  <c r="J84" i="9"/>
  <c r="K84" i="9" s="1"/>
  <c r="J85" i="9"/>
  <c r="K85" i="9" s="1"/>
  <c r="J86" i="9"/>
  <c r="K86" i="9" s="1"/>
  <c r="J87" i="9"/>
  <c r="K87" i="9" s="1"/>
  <c r="J88" i="9"/>
  <c r="K88" i="9" s="1"/>
  <c r="J89" i="9"/>
  <c r="K89" i="9" s="1"/>
  <c r="J90" i="9"/>
  <c r="K90" i="9" s="1"/>
  <c r="J91" i="9"/>
  <c r="K91" i="9" s="1"/>
  <c r="J92" i="9"/>
  <c r="K92" i="9" s="1"/>
  <c r="J93" i="9"/>
  <c r="K93" i="9" s="1"/>
  <c r="J94" i="9"/>
  <c r="K94" i="9" s="1"/>
  <c r="J95" i="9"/>
  <c r="K95" i="9" s="1"/>
  <c r="J96" i="9"/>
  <c r="K96" i="9" s="1"/>
  <c r="J97" i="9"/>
  <c r="K97" i="9" s="1"/>
  <c r="J98" i="9"/>
  <c r="K98" i="9" s="1"/>
  <c r="J99" i="9"/>
  <c r="K99" i="9" s="1"/>
  <c r="J100" i="9"/>
  <c r="K100" i="9" s="1"/>
  <c r="J101" i="9"/>
  <c r="K101" i="9" s="1"/>
  <c r="J102" i="9"/>
  <c r="K102" i="9" s="1"/>
  <c r="J103" i="9"/>
  <c r="K103" i="9" s="1"/>
  <c r="J104" i="9"/>
  <c r="K104" i="9" s="1"/>
  <c r="J105" i="9"/>
  <c r="K105" i="9" s="1"/>
  <c r="J106" i="9"/>
  <c r="K106" i="9" s="1"/>
  <c r="J107" i="9"/>
  <c r="K107" i="9" s="1"/>
  <c r="J108" i="9"/>
  <c r="K108" i="9" s="1"/>
  <c r="J109" i="9"/>
  <c r="K109" i="9" s="1"/>
  <c r="J110" i="9"/>
  <c r="K110" i="9" s="1"/>
  <c r="J111" i="9"/>
  <c r="K111" i="9" s="1"/>
  <c r="J112" i="9"/>
  <c r="K112" i="9" s="1"/>
  <c r="J113" i="9"/>
  <c r="K113" i="9" s="1"/>
  <c r="J114" i="9"/>
  <c r="K114" i="9" s="1"/>
  <c r="J115" i="9"/>
  <c r="K115" i="9" s="1"/>
  <c r="J116" i="9"/>
  <c r="K116" i="9" s="1"/>
  <c r="J117" i="9"/>
  <c r="K117" i="9" s="1"/>
  <c r="J118" i="9"/>
  <c r="K118" i="9" s="1"/>
  <c r="J119" i="9"/>
  <c r="K119" i="9" s="1"/>
  <c r="J120" i="9"/>
  <c r="K120" i="9" s="1"/>
  <c r="J121" i="9"/>
  <c r="K121" i="9" s="1"/>
  <c r="J122" i="9"/>
  <c r="K122" i="9" s="1"/>
  <c r="J123" i="9"/>
  <c r="K123" i="9" s="1"/>
  <c r="J124" i="9"/>
  <c r="K124" i="9" s="1"/>
  <c r="J125" i="9"/>
  <c r="K125" i="9" s="1"/>
  <c r="J126" i="9"/>
  <c r="K126" i="9" s="1"/>
  <c r="J127" i="9"/>
  <c r="K127" i="9" s="1"/>
  <c r="J128" i="9"/>
  <c r="K128" i="9" s="1"/>
  <c r="J129" i="9"/>
  <c r="K129" i="9" s="1"/>
  <c r="J130" i="9"/>
  <c r="K130" i="9" s="1"/>
  <c r="J131" i="9"/>
  <c r="K131" i="9" s="1"/>
  <c r="J132" i="9"/>
  <c r="K132" i="9" s="1"/>
  <c r="J133" i="9"/>
  <c r="K133" i="9" s="1"/>
  <c r="J134" i="9"/>
  <c r="K134" i="9" s="1"/>
  <c r="J135" i="9"/>
  <c r="K135" i="9" s="1"/>
  <c r="J136" i="9"/>
  <c r="K136" i="9" s="1"/>
  <c r="J137" i="9"/>
  <c r="K137" i="9" s="1"/>
  <c r="J138" i="9"/>
  <c r="K138" i="9" s="1"/>
  <c r="J139" i="9"/>
  <c r="K139" i="9" s="1"/>
  <c r="J140" i="9"/>
  <c r="K140" i="9" s="1"/>
  <c r="J141" i="9"/>
  <c r="K141" i="9" s="1"/>
  <c r="J142" i="9"/>
  <c r="K142" i="9" s="1"/>
  <c r="J143" i="9"/>
  <c r="K143" i="9" s="1"/>
  <c r="J144" i="9"/>
  <c r="K144" i="9" s="1"/>
  <c r="J145" i="9"/>
  <c r="K145" i="9" s="1"/>
  <c r="J146" i="9"/>
  <c r="K146" i="9" s="1"/>
  <c r="J147" i="9"/>
  <c r="K147" i="9" s="1"/>
  <c r="J148" i="9"/>
  <c r="K148" i="9" s="1"/>
  <c r="J149" i="9"/>
  <c r="K149" i="9" s="1"/>
  <c r="J150" i="9"/>
  <c r="K150" i="9" s="1"/>
  <c r="J151" i="9"/>
  <c r="K151" i="9" s="1"/>
  <c r="J152" i="9"/>
  <c r="K152" i="9" s="1"/>
  <c r="J153" i="9"/>
  <c r="K153" i="9" s="1"/>
  <c r="J154" i="9"/>
  <c r="K154" i="9" s="1"/>
  <c r="J155" i="9"/>
  <c r="K155" i="9" s="1"/>
  <c r="J156" i="9"/>
  <c r="K156" i="9" s="1"/>
  <c r="J157" i="9"/>
  <c r="K157" i="9" s="1"/>
  <c r="J158" i="9"/>
  <c r="K158" i="9" s="1"/>
  <c r="K159" i="9"/>
  <c r="J160" i="9"/>
  <c r="K160" i="9" s="1"/>
  <c r="J161" i="9"/>
  <c r="K161" i="9" s="1"/>
  <c r="J162" i="9"/>
  <c r="K162" i="9" s="1"/>
  <c r="J163" i="9"/>
  <c r="K163" i="9" s="1"/>
  <c r="J164" i="9"/>
  <c r="K164" i="9" s="1"/>
  <c r="J165" i="9"/>
  <c r="K165" i="9" s="1"/>
  <c r="J166" i="9"/>
  <c r="K166" i="9" s="1"/>
  <c r="J167" i="9"/>
  <c r="K167" i="9" s="1"/>
  <c r="J168" i="9"/>
  <c r="K168" i="9" s="1"/>
  <c r="J169" i="9"/>
  <c r="K169" i="9" s="1"/>
  <c r="J170" i="9"/>
  <c r="K170" i="9" s="1"/>
  <c r="J171" i="9"/>
  <c r="K171" i="9" s="1"/>
  <c r="J172" i="9"/>
  <c r="K172" i="9" s="1"/>
  <c r="J173" i="9"/>
  <c r="K173" i="9" s="1"/>
  <c r="J174" i="9"/>
  <c r="K174" i="9" s="1"/>
  <c r="J175" i="9"/>
  <c r="K175" i="9" s="1"/>
  <c r="J176" i="9"/>
  <c r="K176" i="9" s="1"/>
  <c r="J177" i="9"/>
  <c r="K177" i="9" s="1"/>
  <c r="J178" i="9"/>
  <c r="K178" i="9" s="1"/>
  <c r="J179" i="9"/>
  <c r="K179" i="9" s="1"/>
  <c r="J180" i="9"/>
  <c r="K180" i="9" s="1"/>
  <c r="J181" i="9"/>
  <c r="K181" i="9" s="1"/>
  <c r="J182" i="9"/>
  <c r="K182" i="9" s="1"/>
  <c r="J183" i="9"/>
  <c r="K183" i="9" s="1"/>
  <c r="J184" i="9"/>
  <c r="K184" i="9" s="1"/>
  <c r="J185" i="9"/>
  <c r="K185" i="9" s="1"/>
  <c r="J186" i="9"/>
  <c r="K186" i="9" s="1"/>
  <c r="J187" i="9"/>
  <c r="K187" i="9" s="1"/>
  <c r="J188" i="9"/>
  <c r="K188" i="9" s="1"/>
  <c r="J189" i="9"/>
  <c r="K189" i="9" s="1"/>
  <c r="J190" i="9"/>
  <c r="K190" i="9" s="1"/>
  <c r="J191" i="9"/>
  <c r="K191" i="9" s="1"/>
  <c r="J192" i="9"/>
  <c r="K192" i="9" s="1"/>
  <c r="J193" i="9"/>
  <c r="K193" i="9" s="1"/>
  <c r="J194" i="9"/>
  <c r="K194" i="9" s="1"/>
  <c r="J195" i="9"/>
  <c r="K195" i="9" s="1"/>
  <c r="J196" i="9"/>
  <c r="K196" i="9" s="1"/>
  <c r="J197" i="9"/>
  <c r="K197" i="9" s="1"/>
  <c r="J198" i="9"/>
  <c r="K198" i="9" s="1"/>
  <c r="J199" i="9"/>
  <c r="K199" i="9" s="1"/>
  <c r="J200" i="9"/>
  <c r="K200" i="9" s="1"/>
  <c r="J201" i="9"/>
  <c r="K201" i="9" s="1"/>
  <c r="J202" i="9"/>
  <c r="K202" i="9" s="1"/>
  <c r="J203" i="9"/>
  <c r="K203" i="9" s="1"/>
  <c r="J204" i="9"/>
  <c r="K204" i="9" s="1"/>
  <c r="J205" i="9"/>
  <c r="K205" i="9" s="1"/>
  <c r="J206" i="9"/>
  <c r="K206" i="9" s="1"/>
  <c r="J207" i="9"/>
  <c r="K207" i="9" s="1"/>
  <c r="J208" i="9"/>
  <c r="K208" i="9" s="1"/>
  <c r="J209" i="9"/>
  <c r="K209" i="9" s="1"/>
  <c r="J210" i="9"/>
  <c r="K210" i="9" s="1"/>
  <c r="J211" i="9"/>
  <c r="K211" i="9" s="1"/>
  <c r="J212" i="9"/>
  <c r="K212" i="9" s="1"/>
  <c r="J213" i="9"/>
  <c r="K213" i="9" s="1"/>
  <c r="J214" i="9"/>
  <c r="K214" i="9" s="1"/>
  <c r="J215" i="9"/>
  <c r="K215" i="9" s="1"/>
  <c r="J216" i="9"/>
  <c r="K216" i="9" s="1"/>
  <c r="J217" i="9"/>
  <c r="K217" i="9" s="1"/>
  <c r="J218" i="9"/>
  <c r="K218" i="9" s="1"/>
  <c r="J219" i="9"/>
  <c r="K219" i="9" s="1"/>
  <c r="J220" i="9"/>
  <c r="K220" i="9" s="1"/>
  <c r="J221" i="9"/>
  <c r="K221" i="9" s="1"/>
  <c r="J222" i="9"/>
  <c r="K222" i="9" s="1"/>
  <c r="J223" i="9"/>
  <c r="K223" i="9" s="1"/>
  <c r="J224" i="9"/>
  <c r="K224" i="9" s="1"/>
  <c r="J225" i="9"/>
  <c r="K225" i="9" s="1"/>
  <c r="J226" i="9"/>
  <c r="K226" i="9" s="1"/>
  <c r="J227" i="9"/>
  <c r="K227" i="9" s="1"/>
  <c r="J228" i="9"/>
  <c r="K228" i="9" s="1"/>
  <c r="J229" i="9"/>
  <c r="K229" i="9" s="1"/>
  <c r="J230" i="9"/>
  <c r="K230" i="9" s="1"/>
  <c r="J231" i="9"/>
  <c r="K231" i="9" s="1"/>
  <c r="J232" i="9"/>
  <c r="K232" i="9" s="1"/>
  <c r="J233" i="9"/>
  <c r="K233" i="9" s="1"/>
  <c r="J234" i="9"/>
  <c r="K234" i="9" s="1"/>
  <c r="J235" i="9"/>
  <c r="K235" i="9" s="1"/>
  <c r="J236" i="9"/>
  <c r="K236" i="9" s="1"/>
  <c r="J237" i="9"/>
  <c r="K237" i="9" s="1"/>
  <c r="J238" i="9"/>
  <c r="K238" i="9" s="1"/>
  <c r="J239" i="9"/>
  <c r="K239" i="9" s="1"/>
  <c r="J240" i="9"/>
  <c r="K240" i="9" s="1"/>
  <c r="J241" i="9"/>
  <c r="K241" i="9" s="1"/>
  <c r="J242" i="9"/>
  <c r="K242" i="9" s="1"/>
  <c r="J243" i="9"/>
  <c r="K243" i="9" s="1"/>
  <c r="J244" i="9"/>
  <c r="K244" i="9" s="1"/>
  <c r="J245" i="9"/>
  <c r="K245" i="9" s="1"/>
  <c r="J246" i="9"/>
  <c r="K246" i="9" s="1"/>
  <c r="J247" i="9"/>
  <c r="K247" i="9" s="1"/>
  <c r="J248" i="9"/>
  <c r="K248" i="9" s="1"/>
  <c r="J249" i="9"/>
  <c r="K249" i="9" s="1"/>
  <c r="J250" i="9"/>
  <c r="K250" i="9" s="1"/>
  <c r="J251" i="9"/>
  <c r="K251" i="9" s="1"/>
  <c r="J252" i="9"/>
  <c r="K252" i="9" s="1"/>
  <c r="J253" i="9"/>
  <c r="K253" i="9" s="1"/>
  <c r="J254" i="9"/>
  <c r="K254" i="9" s="1"/>
  <c r="J255" i="9"/>
  <c r="K255" i="9" s="1"/>
  <c r="J256" i="9"/>
  <c r="K256" i="9" s="1"/>
  <c r="J257" i="9"/>
  <c r="K257" i="9" s="1"/>
  <c r="J258" i="9"/>
  <c r="K258" i="9" s="1"/>
  <c r="J259" i="9"/>
  <c r="K259" i="9" s="1"/>
  <c r="J260" i="9"/>
  <c r="K260" i="9" s="1"/>
  <c r="J261" i="9"/>
  <c r="K261" i="9" s="1"/>
  <c r="J262" i="9"/>
  <c r="K262" i="9" s="1"/>
  <c r="J263" i="9"/>
  <c r="K263" i="9" s="1"/>
  <c r="I264" i="9" l="1"/>
</calcChain>
</file>

<file path=xl/sharedStrings.xml><?xml version="1.0" encoding="utf-8"?>
<sst xmlns="http://schemas.openxmlformats.org/spreadsheetml/2006/main" count="1260" uniqueCount="560">
  <si>
    <t>Nombre de la tarea</t>
  </si>
  <si>
    <t>Listas</t>
  </si>
  <si>
    <t>Persona asignada</t>
  </si>
  <si>
    <t>Estado</t>
  </si>
  <si>
    <t>ID de tarea</t>
  </si>
  <si>
    <t>Fecha de creación</t>
  </si>
  <si>
    <t>Fecha de cierre</t>
  </si>
  <si>
    <t>Permite agregar una columna.</t>
  </si>
  <si>
    <t>Columna1</t>
  </si>
  <si>
    <t>dia</t>
  </si>
  <si>
    <t>fines de semana</t>
  </si>
  <si>
    <t>completado</t>
  </si>
  <si>
    <t>Franklin Martinez</t>
  </si>
  <si>
    <t>📋 Compras</t>
  </si>
  <si>
    <t>Tiendas VZLA</t>
  </si>
  <si>
    <t>📋 Conciliación</t>
  </si>
  <si>
    <t>📋 Marcas</t>
  </si>
  <si>
    <t>📋 Impuestos</t>
  </si>
  <si>
    <t>📋 Errores de Recepción</t>
  </si>
  <si>
    <t>📋 Cuentas por Pagar</t>
  </si>
  <si>
    <t>Zander Garcia</t>
  </si>
  <si>
    <t>pendiente</t>
  </si>
  <si>
    <t>📋 Operaciones</t>
  </si>
  <si>
    <t>Tiendas RD</t>
  </si>
  <si>
    <t>Francisco Maldonado</t>
  </si>
  <si>
    <t>CREACION DE USUARIO</t>
  </si>
  <si>
    <t>Crear proveedores Informales ´´Nomina´´</t>
  </si>
  <si>
    <t>📋 Contraloria</t>
  </si>
  <si>
    <t>CAMBIO DE DESCRIPCION</t>
  </si>
  <si>
    <t>📋 Directiva</t>
  </si>
  <si>
    <t>📋 Talento Humano</t>
  </si>
  <si>
    <t>Franklin Martinez, Francisco Maldonado</t>
  </si>
  <si>
    <t xml:space="preserve">RELIVE REIMPRESION DE FACTURA </t>
  </si>
  <si>
    <t>Error en Sistema</t>
  </si>
  <si>
    <t>SOLICITUD COMPROBANTE DE RETENCION BASE NORTE-SUR</t>
  </si>
  <si>
    <t>#86b95jze8</t>
  </si>
  <si>
    <t>EXCLUIR FACTURAS DEL LIBRO DE COMPRAS OPERADORA VENECIA 2021 C,A</t>
  </si>
  <si>
    <t>#86b95mdz7</t>
  </si>
  <si>
    <t>Creación de Combos Cvzas Rt Polar + Pepsi Cola 2L</t>
  </si>
  <si>
    <t>#86b95mr3k</t>
  </si>
  <si>
    <t xml:space="preserve">Creación de Cuenta Contable - Administración de Talento Humano </t>
  </si>
  <si>
    <t>#86b95nba7</t>
  </si>
  <si>
    <t>Act costos y pvp Sundance</t>
  </si>
  <si>
    <t>#86b95ncum</t>
  </si>
  <si>
    <t>Creación de Combo Zulia Rt + Coca Cola 2L</t>
  </si>
  <si>
    <t>#86b95pc5r</t>
  </si>
  <si>
    <t>Requerimiento de Mix and Match</t>
  </si>
  <si>
    <t>#86b95qgkv</t>
  </si>
  <si>
    <t>Cambiar tipo de documento de No 606 a Factura de compra -Cervecería/San isidro</t>
  </si>
  <si>
    <t>#86b95qn97</t>
  </si>
  <si>
    <t>LECHERIA REIMPRESION DE FACTURA</t>
  </si>
  <si>
    <t>#86b95qth1</t>
  </si>
  <si>
    <t>Act pvp Hatuey Dito</t>
  </si>
  <si>
    <t>#86b95rf7b</t>
  </si>
  <si>
    <t>NO VISUALIZA CIERRE DE TIENDA</t>
  </si>
  <si>
    <t>#86b95vgeb</t>
  </si>
  <si>
    <t>ERROR NCF Y RNC MARZO 2026</t>
  </si>
  <si>
    <t>#86b95x0q3</t>
  </si>
  <si>
    <t xml:space="preserve">Creación de Mix and Match </t>
  </si>
  <si>
    <t>#86b95x32e</t>
  </si>
  <si>
    <t xml:space="preserve">Anular Gastos ANRH 761 - 762 </t>
  </si>
  <si>
    <t>#86b95x4xe</t>
  </si>
  <si>
    <t>Combo Zulia+Cava Zulia</t>
  </si>
  <si>
    <t>#86b95y0xv</t>
  </si>
  <si>
    <t>Requerimiento de componentes - Dpto de Compras</t>
  </si>
  <si>
    <t>#86b95ycyy</t>
  </si>
  <si>
    <t>Agregar a grupo de almacen: Tiendas Nuevas</t>
  </si>
  <si>
    <t>#86b95ymzj</t>
  </si>
  <si>
    <t xml:space="preserve">Creacion Mix and Match UB Chivas </t>
  </si>
  <si>
    <t>#86b95z8r3</t>
  </si>
  <si>
    <t>Anular Conversión duplicada en blanco AAAE-21304</t>
  </si>
  <si>
    <t>#86b969fmy</t>
  </si>
  <si>
    <t xml:space="preserve">CREACION Y ELIMINACION DE USUARIOS </t>
  </si>
  <si>
    <t>#86b96aj7c</t>
  </si>
  <si>
    <t>Anulacion de Registros Facturas de Gastos All Around AAI 3459 - 3458 - 3457</t>
  </si>
  <si>
    <t>#86b96b3d1</t>
  </si>
  <si>
    <t>#86b96c0en</t>
  </si>
  <si>
    <t>Estandar Tarifasventa Venezuela</t>
  </si>
  <si>
    <t>#86b99fe1h</t>
  </si>
  <si>
    <t xml:space="preserve">Cambio de Fecha de Factura de Venta - Razón Social All Around </t>
  </si>
  <si>
    <t>#86b99hemw</t>
  </si>
  <si>
    <t>Descatalogacion de combos</t>
  </si>
  <si>
    <t>#86b99kj6m</t>
  </si>
  <si>
    <t>Descatalogacion de  combos</t>
  </si>
  <si>
    <t>#86b99kk7c</t>
  </si>
  <si>
    <t>Modificar Descripciones de Formatos</t>
  </si>
  <si>
    <t>#86b99kuwk</t>
  </si>
  <si>
    <t xml:space="preserve">REVERSO--ONE WORL </t>
  </si>
  <si>
    <t>#86b99mu06</t>
  </si>
  <si>
    <t>REIMPRESION FACTURAS LECHERIA 2025 2NDA MARZO</t>
  </si>
  <si>
    <t>#86b99ndc5</t>
  </si>
  <si>
    <t>Creación de Cliente Insieme, S.A.</t>
  </si>
  <si>
    <t>📋 Cuentas por Cobrar</t>
  </si>
  <si>
    <t>#86b99pvq5</t>
  </si>
  <si>
    <t>REIMPRESION DE FACTURAS LA CASA DE LA CAÑA 2DA QCNA MARZO 2026</t>
  </si>
  <si>
    <t>#86b99rjw0</t>
  </si>
  <si>
    <t>UPATA REIMPRESION DE FACTURAS 2DA QCNA MARZO 2026</t>
  </si>
  <si>
    <t>#86b99ru32</t>
  </si>
  <si>
    <t>Codificacion articulo- Abril 2026-Sem II</t>
  </si>
  <si>
    <t>#86b99w91m</t>
  </si>
  <si>
    <t xml:space="preserve">Crear documento en Gastos Nomina para registro de faltantes </t>
  </si>
  <si>
    <t>#86b9a4cu2</t>
  </si>
  <si>
    <t>Abaran C4AD-6145 de tienda Rómulo No subio</t>
  </si>
  <si>
    <t>#86b9a6ngb</t>
  </si>
  <si>
    <t>Anular Convercion (ACAE-2473)</t>
  </si>
  <si>
    <t>#86b9a6nuk</t>
  </si>
  <si>
    <t>Adecuar sala de reuniones con nuevo proyector, microfono, cornetas y camara para reuniones virtuales</t>
  </si>
  <si>
    <t>#86b9a9ep1</t>
  </si>
  <si>
    <t>Anular gasto ACAI 1184</t>
  </si>
  <si>
    <t>#86b9aad8w</t>
  </si>
  <si>
    <t>Factura Axma, Alameda de Distribuidora se fue a operadora</t>
  </si>
  <si>
    <t>#86b9ae4aq</t>
  </si>
  <si>
    <t>ABONAR RECEPCION ANLD 789- DISTRIBUIDORA MUNIN</t>
  </si>
  <si>
    <t>#86b9ae8t5</t>
  </si>
  <si>
    <t>Crear Proveedor Informal ´´Yefferson José Alexander Galindez´´</t>
  </si>
  <si>
    <t>#86b9ag3ff</t>
  </si>
  <si>
    <t>REVERSO</t>
  </si>
  <si>
    <t>#86b9aq7fx</t>
  </si>
  <si>
    <t>#86b9aqrj5</t>
  </si>
  <si>
    <t>#86b9ar7wd</t>
  </si>
  <si>
    <t>CREACION DE COMBO HIGHLAND CUP</t>
  </si>
  <si>
    <t>#86b9arhz4</t>
  </si>
  <si>
    <t xml:space="preserve">ELIMINAR REGISTRO ICG </t>
  </si>
  <si>
    <t>#86b9at3z1</t>
  </si>
  <si>
    <t xml:space="preserve">Activar Formato a Articulo </t>
  </si>
  <si>
    <t>#86b9atgtv</t>
  </si>
  <si>
    <t>Impresora Epson</t>
  </si>
  <si>
    <t>Christian Smerling Alcantara Puello</t>
  </si>
  <si>
    <t>#86b9ay7ff</t>
  </si>
  <si>
    <t>ANULACION DE ALBARAN  A2AD-2890</t>
  </si>
  <si>
    <t>#86b9azj1v</t>
  </si>
  <si>
    <t>#86b9b53j1</t>
  </si>
  <si>
    <t>REVERSO-DISAVICAR</t>
  </si>
  <si>
    <t>#86b9bbz8p</t>
  </si>
  <si>
    <t>Codificacion Articulos - Abril 2026- Sem II</t>
  </si>
  <si>
    <t>#86b9bce8c</t>
  </si>
  <si>
    <t xml:space="preserve">Anular NC AMBH - 62 </t>
  </si>
  <si>
    <t>#86b9bd307</t>
  </si>
  <si>
    <t>ACTIVAR MIX &amp; MATCH - RON VEROES</t>
  </si>
  <si>
    <t>#86b9bd7ge</t>
  </si>
  <si>
    <t>Abono Recepcion Errada - C41D-30026</t>
  </si>
  <si>
    <t>#86b9bexxp</t>
  </si>
  <si>
    <t>DISBOL EXPRESS SUR REIMPRESION DE FACTURA</t>
  </si>
  <si>
    <t>#86b9bf2f5</t>
  </si>
  <si>
    <t>Anulacion de albaran A3AD-1721</t>
  </si>
  <si>
    <t>#86b9bfgam</t>
  </si>
  <si>
    <t>Activar Check Promo</t>
  </si>
  <si>
    <t>#86b9bfjqk</t>
  </si>
  <si>
    <t>Abono Recepciones Erradas - TIENDA CUMANA</t>
  </si>
  <si>
    <t>#86b9bfpwd</t>
  </si>
  <si>
    <t>ERROR DE RECEPCION - PROLICOR- LAS ROSAS</t>
  </si>
  <si>
    <t>en revision</t>
  </si>
  <si>
    <t>#86b9bka89</t>
  </si>
  <si>
    <t>ABONO RECEPCION ANLD 792- DISAVICAR</t>
  </si>
  <si>
    <t>#86b9bmg4k</t>
  </si>
  <si>
    <t xml:space="preserve">ELIMINAR REGISTROS ICG </t>
  </si>
  <si>
    <t>#86b9bpa8f</t>
  </si>
  <si>
    <t>Completar numero de NCF de conversión Sundance San isidro</t>
  </si>
  <si>
    <t>#86b9bpv0u</t>
  </si>
  <si>
    <t xml:space="preserve">Completar numero de NCF de conversión Almacenes Continente San isidro </t>
  </si>
  <si>
    <t>#86b9bq1k4</t>
  </si>
  <si>
    <t>CREACION DE USUARIO AYUDANTE ESPECIAL</t>
  </si>
  <si>
    <t>#86b9bqe3z</t>
  </si>
  <si>
    <t>Modificar numero de NCF de conversión Importadora Genesa en Rep Colombia</t>
  </si>
  <si>
    <t>#86b9bqvyd</t>
  </si>
  <si>
    <t>SOLICITUD CREACION CUENTA CONTABLE - BANESCO US CUENTA VERDE ELETRONCA</t>
  </si>
  <si>
    <t>#86b9c03n1</t>
  </si>
  <si>
    <t xml:space="preserve">Agregar Reporte: </t>
  </si>
  <si>
    <t>#86b9c1mdf</t>
  </si>
  <si>
    <t>Abono recepciones erradas - Tienda La Mansion</t>
  </si>
  <si>
    <t>#86b9c1nfm</t>
  </si>
  <si>
    <t>Abono recepciones erradas - TIENDA LA MANSION</t>
  </si>
  <si>
    <t>#86b9c1zy5</t>
  </si>
  <si>
    <t>Abrir la Contabilidad al 31/03/2026</t>
  </si>
  <si>
    <t>#86b9c2pzb</t>
  </si>
  <si>
    <t>ELIMINAR REGISTROS ICG LECHERIA 2025 MARZO 2026</t>
  </si>
  <si>
    <t>#86b9c3jwc</t>
  </si>
  <si>
    <t>REEIMPRESION DE FACTURA LECHERIA 2025</t>
  </si>
  <si>
    <t>#86b9c3pz8</t>
  </si>
  <si>
    <t xml:space="preserve">Solicitud Botón de Delivery y Usuario de Caja </t>
  </si>
  <si>
    <t>#86b9cjj3w</t>
  </si>
  <si>
    <t>Abono rececpion errada - L51D-1178</t>
  </si>
  <si>
    <t>#86b9d03yk</t>
  </si>
  <si>
    <t>Albaran Tienda Alameda no subio A3AD-1764</t>
  </si>
  <si>
    <t>#86b9d1kf8</t>
  </si>
  <si>
    <t>20260413 Solicitud de UPS para la caja E</t>
  </si>
  <si>
    <t>#86b9d1vt7</t>
  </si>
  <si>
    <t>#86b9d3440</t>
  </si>
  <si>
    <t>Acceso Remoto-Manager</t>
  </si>
  <si>
    <t>#86b9d3zhc</t>
  </si>
  <si>
    <t>No se refleja corrida - Nuevo Precio oferta</t>
  </si>
  <si>
    <t>#86b9d6qt4</t>
  </si>
  <si>
    <t>Venmotos</t>
  </si>
  <si>
    <t>Franklin Martinez, Francisco Maldonado, Zander Garcia</t>
  </si>
  <si>
    <t>#86b9d6z36</t>
  </si>
  <si>
    <t>Usuario Oscar</t>
  </si>
  <si>
    <t>#86b9d6zmv</t>
  </si>
  <si>
    <t>Etiquetas</t>
  </si>
  <si>
    <t>#86b9d8be4</t>
  </si>
  <si>
    <t>REPORTE DE CIERRE 13/04/26</t>
  </si>
  <si>
    <t>#86b9djqqr</t>
  </si>
  <si>
    <t>Codificacion articulos - Abril 2026- Sem III</t>
  </si>
  <si>
    <t>#86b9djvxm</t>
  </si>
  <si>
    <t>Creación de Usuario</t>
  </si>
  <si>
    <t>#86b9dk858</t>
  </si>
  <si>
    <t>Abrir la contabilidad al 31/03/2026</t>
  </si>
  <si>
    <t>#86b9dkaa8</t>
  </si>
  <si>
    <t>Anular Convercion</t>
  </si>
  <si>
    <t>#86b9dkpx8</t>
  </si>
  <si>
    <t>Artículos sin Costo Promedio en reporte LCDLC Ajustes Inventario Valorado Costo Promedio</t>
  </si>
  <si>
    <t>📋 Procesos</t>
  </si>
  <si>
    <t>#86b9dm8g9</t>
  </si>
  <si>
    <t>Creacion de articulo promo Perrier 0.3 y 0.7L</t>
  </si>
  <si>
    <t>#86b9dnegw</t>
  </si>
  <si>
    <t>Solicitud de Mouse equipo Arimar Manosalva</t>
  </si>
  <si>
    <t>#86b9dqzmk</t>
  </si>
  <si>
    <t xml:space="preserve">Anular recibo nro ANMW 78594 </t>
  </si>
  <si>
    <t>#86b9dr216</t>
  </si>
  <si>
    <t xml:space="preserve">ANULACION DE REGSITRO ALCALDIA MUNICIPIO SUCRE </t>
  </si>
  <si>
    <t>#86b9dvvwq</t>
  </si>
  <si>
    <t xml:space="preserve">ANULACION DE REGISTRO ALCALDIA DE MATURIN </t>
  </si>
  <si>
    <t>#86b9dvxhj</t>
  </si>
  <si>
    <t>Eliminar Iva - A000032939 Yuca Congelada Verdi Fresh</t>
  </si>
  <si>
    <t>#86b9dw8hz</t>
  </si>
  <si>
    <t xml:space="preserve">Anular gasto  nro ANLI 14005 </t>
  </si>
  <si>
    <t>#86b9dwb5p</t>
  </si>
  <si>
    <t>Anular gasto ANAV 10926</t>
  </si>
  <si>
    <t>#86b9dwc14</t>
  </si>
  <si>
    <t xml:space="preserve">Act costos y pvp Mercasid Don Julio </t>
  </si>
  <si>
    <t>#86b9e00eg</t>
  </si>
  <si>
    <t>Codificar articulos- Abril 2026- Sem III- Parte II</t>
  </si>
  <si>
    <t>#86b9e01g8</t>
  </si>
  <si>
    <t>Act costos CND Bohemia, The One, Brahma</t>
  </si>
  <si>
    <t>#86b9e0dxd</t>
  </si>
  <si>
    <t xml:space="preserve">No se visualiza Dropbox </t>
  </si>
  <si>
    <t>#86b9e9u65</t>
  </si>
  <si>
    <t>Recepciones cerveceria independiente,C.A.</t>
  </si>
  <si>
    <t>#86b9e9vde</t>
  </si>
  <si>
    <t>ERROR EN EL REPORTE DE CIERRE DE TIENDA 14/04/2026</t>
  </si>
  <si>
    <t>#86b9e9xjv</t>
  </si>
  <si>
    <t>CIERRE DE TIENDA</t>
  </si>
  <si>
    <t>#86b9eamk1</t>
  </si>
  <si>
    <t>Crear Proveedor Nuevo RMK STUDIOS SRL</t>
  </si>
  <si>
    <t>#86b9eczkn</t>
  </si>
  <si>
    <t>Validar Stock Articulo - A000032928 - Mix Aguakina Minalba Spark Sin Cal 0.3L</t>
  </si>
  <si>
    <t>#86b9ef0uv</t>
  </si>
  <si>
    <t xml:space="preserve">Abono Recepciones Erradas - C41D 30042 / 30054 </t>
  </si>
  <si>
    <t>#86b9efkz0</t>
  </si>
  <si>
    <t>Creacion Marca TEVIA</t>
  </si>
  <si>
    <t>#86b9ek04v</t>
  </si>
  <si>
    <t>Codificar articulos - Abril 2026- Sem III- Parte III</t>
  </si>
  <si>
    <t>#86b9en3gm</t>
  </si>
  <si>
    <t>Solicitud de anulación de factura CAA8-26</t>
  </si>
  <si>
    <t>#86b9enmrq</t>
  </si>
  <si>
    <t>Cambio de Fecha - CAAI 16543</t>
  </si>
  <si>
    <t>#86b9enqdm</t>
  </si>
  <si>
    <t>archivo digital-veroes</t>
  </si>
  <si>
    <t>#86b9enxn1</t>
  </si>
  <si>
    <t xml:space="preserve">Anular gasto ASUI 385 </t>
  </si>
  <si>
    <t>#86b9f2f1q</t>
  </si>
  <si>
    <t>Solicitud Mix&amp;Match Vinos Tres medallas y 120</t>
  </si>
  <si>
    <t>#86b9f7wj1</t>
  </si>
  <si>
    <t>Solictud Mix&amp;Match Anizazo</t>
  </si>
  <si>
    <t>#86b9f7xr5</t>
  </si>
  <si>
    <t>Error y Cambio Disco Duro Laptop</t>
  </si>
  <si>
    <t>#86b9f94de</t>
  </si>
  <si>
    <t>ACT$ PVP Balanza Alimentos Tuttocuore c.a</t>
  </si>
  <si>
    <t>#86b9f97fp</t>
  </si>
  <si>
    <t>Creacion errada de proveedor</t>
  </si>
  <si>
    <t>#86b9faedw</t>
  </si>
  <si>
    <t>GRUPO LCDLC COMPROBANTE DE RETENCION</t>
  </si>
  <si>
    <t>#86b9fquj9</t>
  </si>
  <si>
    <t xml:space="preserve">Solicitud Usuario De Caja  </t>
  </si>
  <si>
    <t>#86b9fw1py</t>
  </si>
  <si>
    <t>REEMPLAZO COMPROBANTES DE RETENCION SOCIEDADES 1ERA QCNA ABRIL</t>
  </si>
  <si>
    <t>#86b9fy395</t>
  </si>
  <si>
    <t xml:space="preserve">Albaran no subió A2AD-2944, Tienda Naco </t>
  </si>
  <si>
    <t>#86b9fy6ac</t>
  </si>
  <si>
    <t>Anular recibo nro APA4 29972</t>
  </si>
  <si>
    <t>#86b9fyn7u</t>
  </si>
  <si>
    <t>Abono Recepción Errada 4F1D-146</t>
  </si>
  <si>
    <t>#86b9g13uv</t>
  </si>
  <si>
    <t>Abono recepcion errada -4F1D-148</t>
  </si>
  <si>
    <t>#86b9g14pn</t>
  </si>
  <si>
    <t>Abono Recepción Errada - 4P1D-36</t>
  </si>
  <si>
    <t>#86b9g19j9</t>
  </si>
  <si>
    <t>Abono Recepción Errada - R61D-2200</t>
  </si>
  <si>
    <t>#86b9g1hy8</t>
  </si>
  <si>
    <t xml:space="preserve">CIERRE DE TIENDA </t>
  </si>
  <si>
    <t>#86b9gbuqx</t>
  </si>
  <si>
    <t>UPATA REMPRESION DE FACTURAS</t>
  </si>
  <si>
    <t>#86b9gjynw</t>
  </si>
  <si>
    <t>COMBO ST GREY GOOSE</t>
  </si>
  <si>
    <t>#86b9gkgh3</t>
  </si>
  <si>
    <t>AMERICA REIMPRESION DE FACTURA</t>
  </si>
  <si>
    <t>#86b9gm4cm</t>
  </si>
  <si>
    <t>LCDLC REIMPRESION DE FACTURAS 1ERA QUINCENA ABRIL 2026</t>
  </si>
  <si>
    <t>#86b9gmdc1</t>
  </si>
  <si>
    <t>Abono recepcion Glacial C21D 2894</t>
  </si>
  <si>
    <t>#86b9gmrbb</t>
  </si>
  <si>
    <t xml:space="preserve">Crear cuenta Contable en Distribuidora - Carret. Mella </t>
  </si>
  <si>
    <t>#86b9gmtkr</t>
  </si>
  <si>
    <t>MAQUINA FISCAL AVERIADA</t>
  </si>
  <si>
    <t>#86b9gmypr</t>
  </si>
  <si>
    <t xml:space="preserve">Abono recepción errada C11D 2551 </t>
  </si>
  <si>
    <t>#86b9gn205</t>
  </si>
  <si>
    <t>Anular Conversión Cervecería de la Rep colombia</t>
  </si>
  <si>
    <t>#86b9gn6n0</t>
  </si>
  <si>
    <t>Grupo de Almacen: 14 Todos los almacenes Base CCS</t>
  </si>
  <si>
    <t>#86b9gn9gu</t>
  </si>
  <si>
    <t>Lay OUT Orden de Compra RD</t>
  </si>
  <si>
    <t>#86b9gp7zd</t>
  </si>
  <si>
    <t>REEIMPRESION FACTURAS LECHERIA 2025 1ERA ABRIL 2026</t>
  </si>
  <si>
    <t>#86b9gtgqu</t>
  </si>
  <si>
    <t xml:space="preserve">SOLICITUD QUITAR DE CUENTAS BANCARIAS - 212100001 CUENTAS POR PAGAR PROVEEDORES LOCALES </t>
  </si>
  <si>
    <t>#86b9gvnyn</t>
  </si>
  <si>
    <t>Anular recibos nro APB4 1117 - ANMW 78648</t>
  </si>
  <si>
    <t>#86b9gwxf8</t>
  </si>
  <si>
    <t xml:space="preserve">ANULACION DE TRASPASO </t>
  </si>
  <si>
    <t>#86b9gxctf</t>
  </si>
  <si>
    <t>MOVER FACTURAS DE VENECIA A LECHERIA 2025 1ERA ABRIL 2026</t>
  </si>
  <si>
    <t>#86b9gz2uq</t>
  </si>
  <si>
    <t>Anular Recibo APB1 - 10922</t>
  </si>
  <si>
    <t>#86b9h0763</t>
  </si>
  <si>
    <t>Anular recibos APA6 2955-ANMW 78645-78649</t>
  </si>
  <si>
    <t>#86b9h242q</t>
  </si>
  <si>
    <t>L81D-17</t>
  </si>
  <si>
    <t>#86b9ha65d</t>
  </si>
  <si>
    <t>4A1D-195</t>
  </si>
  <si>
    <t>#86b9hb729</t>
  </si>
  <si>
    <t xml:space="preserve">Exentos de IVA - Productos Arrecife </t>
  </si>
  <si>
    <t>#86b9hcgf6</t>
  </si>
  <si>
    <t xml:space="preserve">ABONO RECEPCION UNIDOS </t>
  </si>
  <si>
    <t>#86b9hcma7</t>
  </si>
  <si>
    <t>Quitar Retención a Proveedor Evees Group</t>
  </si>
  <si>
    <t>#86b9hcwkp</t>
  </si>
  <si>
    <t>Factura  de Elías se duplico en Blanco AAAE-21620</t>
  </si>
  <si>
    <t>#86b9hdc47</t>
  </si>
  <si>
    <t xml:space="preserve">REIMPRESION DE 45 FACTURAS </t>
  </si>
  <si>
    <t>#86b9hdyb3</t>
  </si>
  <si>
    <t>ABONO IMALBECA RECEP AZ1D-102</t>
  </si>
  <si>
    <t>#86b9hgxjp</t>
  </si>
  <si>
    <t xml:space="preserve">FACTURAS NO DECLARADAS EN LCDLC </t>
  </si>
  <si>
    <t>#86b9hh48d</t>
  </si>
  <si>
    <t>Cambio de monto AAAI  3572</t>
  </si>
  <si>
    <t>#86b9hhnba</t>
  </si>
  <si>
    <t>Creacion de Proveedor Informal</t>
  </si>
  <si>
    <t>#86b9hmtqc</t>
  </si>
  <si>
    <t>Dar acceso a Cambio de Tasa -Talent Host</t>
  </si>
  <si>
    <t>#86b9hny35</t>
  </si>
  <si>
    <t xml:space="preserve">Creacion Marca - HiperFresh </t>
  </si>
  <si>
    <t>#86b9hyab0</t>
  </si>
  <si>
    <t>Ajuste de Numero de control y notas de creditos</t>
  </si>
  <si>
    <t>#86b9hyg4u</t>
  </si>
  <si>
    <t>Act costos Vinicola</t>
  </si>
  <si>
    <t>#86b9hzdr6</t>
  </si>
  <si>
    <t xml:space="preserve">DISBOL EXPRESS SUR REIMPRESION DE FACTURA </t>
  </si>
  <si>
    <t>#86b9hzyyv</t>
  </si>
  <si>
    <t>Act costo Plastifar</t>
  </si>
  <si>
    <t>#86b9j0305</t>
  </si>
  <si>
    <t xml:space="preserve">Error En Recepcion Nvos Productos - ANABaz1D-121-78221 </t>
  </si>
  <si>
    <t>#86b9j09q0</t>
  </si>
  <si>
    <t>Codificar articulos - Abril 2026- Sem IV</t>
  </si>
  <si>
    <t>#86b9j0nrw</t>
  </si>
  <si>
    <t>Act costo y pvp Bermudez</t>
  </si>
  <si>
    <t>#86b9j14ya</t>
  </si>
  <si>
    <t>Acceso a Registrar Nota de credito</t>
  </si>
  <si>
    <t>#86b9j1787</t>
  </si>
  <si>
    <t>SOLICITUD REVISION VENTA - TIENDA CHURCHILL 04/04</t>
  </si>
  <si>
    <t>#86b9j1p7z</t>
  </si>
  <si>
    <t xml:space="preserve">SOLICITUD REVSIION VENTA-  TIENDA AEROPUERTO 03/04 </t>
  </si>
  <si>
    <t>#86b9j1r47</t>
  </si>
  <si>
    <t>Crear Proveedor Nuevo VENTAFIEL TECHNOLOGIES SRL</t>
  </si>
  <si>
    <t>#86b9j1uj5</t>
  </si>
  <si>
    <t>Validar registros de NC Gastos</t>
  </si>
  <si>
    <t>#86b9j45af</t>
  </si>
  <si>
    <t>IMPRESORA FISCAL</t>
  </si>
  <si>
    <t>#86b9j68qt</t>
  </si>
  <si>
    <t>Cambio de Nombre Nueva Tienda - Tienda Alma Rosa</t>
  </si>
  <si>
    <t>#86b9j6bd3</t>
  </si>
  <si>
    <t>Descatalogar Proveedores Informales Inactivos</t>
  </si>
  <si>
    <t>#86b9j8tt2</t>
  </si>
  <si>
    <t>Act costo y pvp Cultura Cervecera</t>
  </si>
  <si>
    <t>#86b9jbtdr</t>
  </si>
  <si>
    <t>Quitar del front de delivery</t>
  </si>
  <si>
    <t>#86b9jcd7v</t>
  </si>
  <si>
    <t>ACT$ PVP Balanza Costa Brava - Inclusion Nuevo Producto</t>
  </si>
  <si>
    <t>#86b9jnqqn</t>
  </si>
  <si>
    <t>RECEPCIONES BD ANTERIOR- CERVECERIA INDEPENDIENTE</t>
  </si>
  <si>
    <t>#86b9jqhya</t>
  </si>
  <si>
    <t>RECEPCION COSTOS ERRADO PROLICOR- LAS MERCEDES</t>
  </si>
  <si>
    <t>#86b9jr30f</t>
  </si>
  <si>
    <t>Visualizacion Recepciones Prolicor</t>
  </si>
  <si>
    <t>#86b9jrj8c</t>
  </si>
  <si>
    <t xml:space="preserve">PAGO COMPAÑIA ANONMA HIDROLOGICA VENEZUELA (HIDROVEN) BS 239.936,53 SE VISUALIZA COMO RESERVA LEGAL </t>
  </si>
  <si>
    <t>#86b9jufej</t>
  </si>
  <si>
    <t>LECHERIA REIMPRESION DE SALTOS 1ERA QCNA ABRIL 2026</t>
  </si>
  <si>
    <t>#86b9jut00</t>
  </si>
  <si>
    <t>REEMPLAZO DE TECLADO Y MOUSE CAJA</t>
  </si>
  <si>
    <t>#86b9jx6ku</t>
  </si>
  <si>
    <t>Anular recibo nro APA6 3010</t>
  </si>
  <si>
    <t>#86b9jyk5f</t>
  </si>
  <si>
    <t>Anular Anticipo (APB2-1152)</t>
  </si>
  <si>
    <t>#86b9jzh28</t>
  </si>
  <si>
    <t>Boton de Permiso de las Tasas Cobranza</t>
  </si>
  <si>
    <t>#86b9k15u3</t>
  </si>
  <si>
    <t>SOLICITUD REVSIION VENTA-  TIENDA ALTERNA 18/04</t>
  </si>
  <si>
    <t>#86b9k1rya</t>
  </si>
  <si>
    <t>Usuario Sr. José Israel</t>
  </si>
  <si>
    <t>#86b9k2yu3</t>
  </si>
  <si>
    <t>Crear Usuario William vilomar</t>
  </si>
  <si>
    <t>#86b9k31mn</t>
  </si>
  <si>
    <t>Articulos Promo</t>
  </si>
  <si>
    <t>#86b9k43hk</t>
  </si>
  <si>
    <t>Activar formato 4 de venta - RT Cerveceria Regional,C.A.</t>
  </si>
  <si>
    <t>#86b9kdj1p</t>
  </si>
  <si>
    <t xml:space="preserve">Crear proveedor ´´DiPrint´´ </t>
  </si>
  <si>
    <t>#86b9kdqcx</t>
  </si>
  <si>
    <t>Validador - Compras/Recepcion de facturas</t>
  </si>
  <si>
    <t>#86b9kgh99</t>
  </si>
  <si>
    <t>Costos errados en pedido de Radeberger</t>
  </si>
  <si>
    <t>#86b9kgnjx</t>
  </si>
  <si>
    <t xml:space="preserve">TECLADO Y MAUSE </t>
  </si>
  <si>
    <t>#86b9khgaf</t>
  </si>
  <si>
    <t xml:space="preserve">Albaran de Almacén Central CZAD-196 No subió </t>
  </si>
  <si>
    <t>#86b9khj8p</t>
  </si>
  <si>
    <t>Codificar articulos -Abril 2026 -Sem IV - Parte II</t>
  </si>
  <si>
    <t>#86b9kmrd3</t>
  </si>
  <si>
    <t xml:space="preserve">Anular recibo nro APA4 30172 </t>
  </si>
  <si>
    <t>#86b9kmrnu</t>
  </si>
  <si>
    <t>Usuarios Modificar</t>
  </si>
  <si>
    <t>#86b9kqph4</t>
  </si>
  <si>
    <t xml:space="preserve">CREAR USUARIO </t>
  </si>
  <si>
    <t>#86b9kr92n</t>
  </si>
  <si>
    <t>RELIVE REIMPRESION DE FACTURA</t>
  </si>
  <si>
    <t>#86b9krpf1</t>
  </si>
  <si>
    <t>#86b9kty1c</t>
  </si>
  <si>
    <t xml:space="preserve">SISTEMA NO GENERO CIERRE </t>
  </si>
  <si>
    <t>#86b9kxaxz</t>
  </si>
  <si>
    <t xml:space="preserve">REIMPRIMIR EL REPORTE Z </t>
  </si>
  <si>
    <t>#86b9kxerk</t>
  </si>
  <si>
    <t>Solitud de sello de tienda</t>
  </si>
  <si>
    <t>#86b9kxrqp</t>
  </si>
  <si>
    <t>Creación De Usuarios</t>
  </si>
  <si>
    <t>#86b9kxt7d</t>
  </si>
  <si>
    <t xml:space="preserve">ANULACION DE FACTURA </t>
  </si>
  <si>
    <t>#86b9kxvfk</t>
  </si>
  <si>
    <t>DEVOLUCION DE FACTURA</t>
  </si>
  <si>
    <t>#86b9kz3j2</t>
  </si>
  <si>
    <t>CIERRE TIENDA 25/04/26</t>
  </si>
  <si>
    <t>#86b9m4pdf</t>
  </si>
  <si>
    <t>POLAR - REVERSO</t>
  </si>
  <si>
    <t>#86b9me3bk</t>
  </si>
  <si>
    <t xml:space="preserve">SOLICITUD CREACION CUENTA CONABLE - BANCO DEL SUR BS Y $ LIBRO LCDLC  </t>
  </si>
  <si>
    <t>Zander Garcia, Francisco Maldonado</t>
  </si>
  <si>
    <t>#86b9mee1q</t>
  </si>
  <si>
    <t>Albaran de Almacen Central No Subio CZAD-196</t>
  </si>
  <si>
    <t>#86b9mf0fj</t>
  </si>
  <si>
    <t xml:space="preserve">Quitar retención ´´Temporalmente´´ Evelyn Almanzar </t>
  </si>
  <si>
    <t>#86b9mf5y3</t>
  </si>
  <si>
    <t>Eliminar duplicado en blanco Cervecería</t>
  </si>
  <si>
    <t>#86b9mfbe8</t>
  </si>
  <si>
    <t>Validar asiento en Distribuidora Mar Caribe 286120</t>
  </si>
  <si>
    <t>#86b9mhac7</t>
  </si>
  <si>
    <t xml:space="preserve">Cuenta contable en Distribuidora Mar Caribe - Validar </t>
  </si>
  <si>
    <t>#86b9mhfab</t>
  </si>
  <si>
    <t xml:space="preserve">Anular recibo nro ANMW 78787 </t>
  </si>
  <si>
    <t>#86b9mhvk1</t>
  </si>
  <si>
    <t>Abono Recepción ANLD-783 Proveedor Disavicar</t>
  </si>
  <si>
    <t>#86b9mn159</t>
  </si>
  <si>
    <t>Eliminar Usuario- Luis caceres</t>
  </si>
  <si>
    <t>#86b9mnv17</t>
  </si>
  <si>
    <t>Crear usuario Clickup - Mariam Polanco</t>
  </si>
  <si>
    <t>#86b9mnymk</t>
  </si>
  <si>
    <t>Anular recibos APA6 2988-2989</t>
  </si>
  <si>
    <t>#86b9mqh8h</t>
  </si>
  <si>
    <t>Anular gasto ANLI 14222</t>
  </si>
  <si>
    <t>#86b9mqm4c</t>
  </si>
  <si>
    <t>CAMBIAR IVA VENTA/DESCRIPCION</t>
  </si>
  <si>
    <t>#86b9mrpf7</t>
  </si>
  <si>
    <t>Anular recibo nro APB4 1176</t>
  </si>
  <si>
    <t>#86b9mrrd1</t>
  </si>
  <si>
    <t>#86b9n28vn</t>
  </si>
  <si>
    <t>ABONO RECEPCION 4I2D-1 BARCA DISTRIBUCIONES</t>
  </si>
  <si>
    <t>#86b9n3p6c</t>
  </si>
  <si>
    <t xml:space="preserve">SOLICITUD DE ACCESOS PARA REPORTE DE VENTAS Y GASTOS </t>
  </si>
  <si>
    <t>#86b9n3qty</t>
  </si>
  <si>
    <t>Factura Duplicada</t>
  </si>
  <si>
    <t>#86b9n8kp0</t>
  </si>
  <si>
    <t>Error en cálculo automático de retención (75%)</t>
  </si>
  <si>
    <t>#86b9ndedm</t>
  </si>
  <si>
    <t xml:space="preserve">REIMPRESION DE 9 FACTURAS </t>
  </si>
  <si>
    <t>#86b9ndmj3</t>
  </si>
  <si>
    <t>Codificacion Articulos - Abril 2026-Sem IV- Parte III</t>
  </si>
  <si>
    <t>#86b9ndmt8</t>
  </si>
  <si>
    <t>Creacion de Correo Albany Castro</t>
  </si>
  <si>
    <t>#86b9ndqkn</t>
  </si>
  <si>
    <t>Activar Mix Regional - Anaco-Maturin I - Maturin II</t>
  </si>
  <si>
    <t>#86b9neb01</t>
  </si>
  <si>
    <t>Cierre de Tienda</t>
  </si>
  <si>
    <t>#86b9ng6zp</t>
  </si>
  <si>
    <t>CRUCERO - ELIMINAR REGISTRO PERMISO BOMBERO</t>
  </si>
  <si>
    <t>#86b9nq52q</t>
  </si>
  <si>
    <t>ERROR CIERRE DE TIENDA</t>
  </si>
  <si>
    <t>#86b9nqbq2</t>
  </si>
  <si>
    <t xml:space="preserve">Impresora </t>
  </si>
  <si>
    <t>#86b9nqzdj</t>
  </si>
  <si>
    <t>Asignar a Sección Dulce Código A32922</t>
  </si>
  <si>
    <t>#86b9nrpnc</t>
  </si>
  <si>
    <t xml:space="preserve">Creación Cuenta Contable-Artículos </t>
  </si>
  <si>
    <t>#86b9nt1ub</t>
  </si>
  <si>
    <t>Creación Cuenta Contable-Artículos  (Op Plazas del Sol)</t>
  </si>
  <si>
    <t>#86b9nt63k</t>
  </si>
  <si>
    <t>MODIFICACIÓN BOLIVAR PLC 2 COMO PARTE DE BASE CARACAS</t>
  </si>
  <si>
    <t>#86b9ntf32</t>
  </si>
  <si>
    <t xml:space="preserve">Agregar Línea con RNC de proveedor Reporte Conciliación de Egresos </t>
  </si>
  <si>
    <t>#86b9ny78n</t>
  </si>
  <si>
    <t xml:space="preserve">Anular recibo nro APA6 3123 </t>
  </si>
  <si>
    <t>#86b9nyntv</t>
  </si>
  <si>
    <t>Costo de Venta errado Por base / Por articulo</t>
  </si>
  <si>
    <t>#86b9nypg5</t>
  </si>
  <si>
    <t>Hace 3 días</t>
  </si>
  <si>
    <t>Creación de articulo Delivery Yummy</t>
  </si>
  <si>
    <t>#86b9nz40p</t>
  </si>
  <si>
    <t>EMITIDO DE STAND MERAKI CAFE NO SE VISUALIZA EN REPORTE DE CONCILIACION CUENTAS BANCARIAS</t>
  </si>
  <si>
    <t>#86b9nzhb6</t>
  </si>
  <si>
    <t>Codificar Combos - Sangria 7 Pecados</t>
  </si>
  <si>
    <t>#86b9p0zqu</t>
  </si>
  <si>
    <t>AJUSTE CRUCE NOTAS DE CREDITO</t>
  </si>
  <si>
    <t>#86b9p1tyd</t>
  </si>
  <si>
    <t>Anular AMFI 10975 y AMFI 10986</t>
  </si>
  <si>
    <t>#86b9pcfbu</t>
  </si>
  <si>
    <t>IMPRESORA  DAÑADA</t>
  </si>
  <si>
    <t>#86b9pct1v</t>
  </si>
  <si>
    <t xml:space="preserve">Conversión Elías de Tienda independencia se guardo en Operadora </t>
  </si>
  <si>
    <t>#86b9pcy5j</t>
  </si>
  <si>
    <t>BOTONES DE FACTURACIÓN CON ERROR DE "RESERVA LEGAL"</t>
  </si>
  <si>
    <t>#86b9pdphe</t>
  </si>
  <si>
    <t>Hace 6 días</t>
  </si>
  <si>
    <t>Actualizacion costos y pvp Goya Aceituna Jamon Serrano</t>
  </si>
  <si>
    <t>#86b9pexh2</t>
  </si>
  <si>
    <t>Act de costo y pvp Isidro Bordas Vodka Cayman Blue</t>
  </si>
  <si>
    <t>#86b9php4g</t>
  </si>
  <si>
    <t>Act. De costo y pvp de Alavarez Y Sanchez Agua Ferrarelle</t>
  </si>
  <si>
    <t>#86b9pj0gm</t>
  </si>
  <si>
    <t xml:space="preserve">Reverso- Fortaleza </t>
  </si>
  <si>
    <t>#86b9pjdwa</t>
  </si>
  <si>
    <t>ACTIVAR FORMATO DE VENTA</t>
  </si>
  <si>
    <t>#86b9pkc8a</t>
  </si>
  <si>
    <t>Anular gastos ASGV 10333-10334-10335</t>
  </si>
  <si>
    <t>#86b9pn4kx</t>
  </si>
  <si>
    <t xml:space="preserve">Anular recibo nro ANMW 78429 </t>
  </si>
  <si>
    <t>#86b9pnvfc</t>
  </si>
  <si>
    <t>ANULACION DE RECEPCION</t>
  </si>
  <si>
    <t>#86b9ppk4n</t>
  </si>
  <si>
    <t xml:space="preserve">Abono recepcion: R61D 2231 Coca Cola </t>
  </si>
  <si>
    <t>#86b9pqg12</t>
  </si>
  <si>
    <t>Hace 4 días</t>
  </si>
  <si>
    <t>Act costos y pvp Altacopa Mamitas</t>
  </si>
  <si>
    <t>#86b9pqp49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</si>
</sst>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ynamicTable1" displayName="DynamicTable1" ref="A1:K264" totalsRowCount="1" headerRowDxfId="24" dataDxfId="23" totalsRowDxfId="22">
  <autoFilter ref="A1:K263">
    <filterColumn colId="2">
      <filters>
        <filter val="Francisco Maldonado"/>
        <filter val="Franklin Martinez, Francisco Maldonado"/>
        <filter val="Franklin Martinez, Francisco Maldonado, Zander Garcia"/>
        <filter val="Zander Garcia, Francisco Maldonado"/>
      </filters>
    </filterColumn>
    <filterColumn colId="3">
      <filters>
        <filter val="completado"/>
      </filters>
    </filterColumn>
  </autoFilter>
  <tableColumns count="11">
    <tableColumn id="2" name="Nombre de la tarea" dataDxfId="21" totalsRowDxfId="20"/>
    <tableColumn id="3" name="Listas" dataDxfId="19" totalsRowDxfId="18"/>
    <tableColumn id="4" name="Persona asignada" dataDxfId="17" totalsRowDxfId="16"/>
    <tableColumn id="5" name="Estado" dataDxfId="15" totalsRowDxfId="14"/>
    <tableColumn id="6" name="ID de tarea" dataDxfId="13" totalsRowDxfId="12"/>
    <tableColumn id="7" name="Fecha de creación" dataDxfId="11" totalsRowDxfId="10"/>
    <tableColumn id="8" name="Fecha de cierre" dataDxfId="9" totalsRowDxfId="8"/>
    <tableColumn id="10" name="Permite agregar una columna." dataDxfId="7" totalsRowDxfId="6">
      <calculatedColumnFormula>DynamicTable1[[#This Row],[Fecha de cierre]]-DynamicTable1[[#This Row],[Fecha de creación]]</calculatedColumnFormula>
    </tableColumn>
    <tableColumn id="1" name="Columna1" totalsRowFunction="average" dataDxfId="5" totalsRowDxfId="4">
      <calculatedColumnFormula>IF(DynamicTable1[[#This Row],[Permite agregar una columna.]]&lt;=6,1,0)</calculatedColumnFormula>
    </tableColumn>
    <tableColumn id="9" name="dia" dataDxfId="3" totalsRowDxfId="2">
      <calculatedColumnFormula>TEXT(DynamicTable1[[#This Row],[Fecha de creación]],"DDDD")</calculatedColumnFormula>
    </tableColumn>
    <tableColumn id="11" name="fines de semana" dataDxfId="1" totalsRowDxfId="0">
      <calculatedColumnFormula>IF(DynamicTable1[[#This Row],[dia]]="Viernes",4,IF(DynamicTable1[[#This Row],[dia]]="Sábado",2,IF(DynamicTable1[[#This Row],[dia]]="Domingo",1,0)))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"/>
  <sheetViews>
    <sheetView tabSelected="1" topLeftCell="B209" zoomScale="70" zoomScaleNormal="70" workbookViewId="0">
      <selection activeCell="I3" sqref="I3:I127"/>
    </sheetView>
  </sheetViews>
  <sheetFormatPr baseColWidth="10" defaultColWidth="11.5703125" defaultRowHeight="15" x14ac:dyDescent="0.25"/>
  <cols>
    <col min="1" max="1" width="71.7109375" style="2" customWidth="1"/>
    <col min="2" max="2" width="24.28515625" style="2" bestFit="1" customWidth="1"/>
    <col min="3" max="3" width="34.7109375" style="2" customWidth="1"/>
    <col min="4" max="4" width="12.7109375" style="2" bestFit="1" customWidth="1"/>
    <col min="5" max="5" width="16.140625" style="2" bestFit="1" customWidth="1"/>
    <col min="6" max="6" width="35.28515625" style="5" customWidth="1"/>
    <col min="7" max="7" width="26.42578125" style="5" customWidth="1"/>
    <col min="8" max="8" width="37.28515625" style="2" customWidth="1"/>
    <col min="9" max="9" width="47.5703125" style="2" bestFit="1" customWidth="1"/>
    <col min="10" max="10" width="12.28515625" style="2" bestFit="1" customWidth="1"/>
    <col min="11" max="11" width="16.7109375" style="2" bestFit="1" customWidth="1"/>
    <col min="12" max="16384" width="11.57031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1" t="s">
        <v>7</v>
      </c>
      <c r="I1" s="4" t="s">
        <v>8</v>
      </c>
      <c r="J1" s="2" t="s">
        <v>9</v>
      </c>
      <c r="K1" s="2" t="s">
        <v>10</v>
      </c>
    </row>
    <row r="2" spans="1:11" x14ac:dyDescent="0.25">
      <c r="A2" t="s">
        <v>34</v>
      </c>
      <c r="B2" t="s">
        <v>17</v>
      </c>
      <c r="C2" t="s">
        <v>24</v>
      </c>
      <c r="D2" t="s">
        <v>11</v>
      </c>
      <c r="E2" t="s">
        <v>35</v>
      </c>
      <c r="F2" s="8">
        <v>46113</v>
      </c>
      <c r="G2" s="8">
        <v>46113</v>
      </c>
      <c r="H2" s="6">
        <f>DynamicTable1[[#This Row],[Fecha de cierre]]-DynamicTable1[[#This Row],[Fecha de creación]]</f>
        <v>0</v>
      </c>
      <c r="I2" s="4">
        <f>IF(DynamicTable1[[#This Row],[Permite agregar una columna.]]&lt;=6,1,0)</f>
        <v>1</v>
      </c>
      <c r="J2" s="6" t="str">
        <f>TEXT(DynamicTable1[[#This Row],[Fecha de creación]],"DDDD")</f>
        <v>miércoles</v>
      </c>
      <c r="K2" s="6">
        <f>IF(DynamicTable1[[#This Row],[dia]]="Viernes",4,IF(DynamicTable1[[#This Row],[dia]]="Sábado",2,IF(DynamicTable1[[#This Row],[dia]]="Domingo",1,0)))</f>
        <v>0</v>
      </c>
    </row>
    <row r="3" spans="1:11" x14ac:dyDescent="0.25">
      <c r="A3" t="s">
        <v>36</v>
      </c>
      <c r="B3" t="s">
        <v>17</v>
      </c>
      <c r="C3" t="s">
        <v>24</v>
      </c>
      <c r="D3" t="s">
        <v>11</v>
      </c>
      <c r="E3" t="s">
        <v>37</v>
      </c>
      <c r="F3" s="8">
        <v>46113</v>
      </c>
      <c r="G3" s="8">
        <v>46132</v>
      </c>
      <c r="H3" s="6">
        <f>DynamicTable1[[#This Row],[Fecha de cierre]]-DynamicTable1[[#This Row],[Fecha de creación]]</f>
        <v>19</v>
      </c>
      <c r="I3" s="4">
        <f>IF(DynamicTable1[[#This Row],[Permite agregar una columna.]]&lt;=6,1,0)</f>
        <v>0</v>
      </c>
      <c r="J3" s="6" t="str">
        <f>TEXT(DynamicTable1[[#This Row],[Fecha de creación]],"DDDD")</f>
        <v>miércoles</v>
      </c>
      <c r="K3" s="6">
        <f>IF(DynamicTable1[[#This Row],[dia]]="Viernes",4,IF(DynamicTable1[[#This Row],[dia]]="Sábado",2,IF(DynamicTable1[[#This Row],[dia]]="Domingo",1,0)))</f>
        <v>0</v>
      </c>
    </row>
    <row r="4" spans="1:11" x14ac:dyDescent="0.25">
      <c r="A4" t="s">
        <v>38</v>
      </c>
      <c r="B4" t="s">
        <v>13</v>
      </c>
      <c r="C4" t="s">
        <v>24</v>
      </c>
      <c r="D4" t="s">
        <v>11</v>
      </c>
      <c r="E4" t="s">
        <v>39</v>
      </c>
      <c r="F4" s="8">
        <v>46113</v>
      </c>
      <c r="G4" s="8">
        <v>46113</v>
      </c>
      <c r="H4" s="6">
        <f>DynamicTable1[[#This Row],[Fecha de cierre]]-DynamicTable1[[#This Row],[Fecha de creación]]</f>
        <v>0</v>
      </c>
      <c r="I4" s="4">
        <f>IF(DynamicTable1[[#This Row],[Permite agregar una columna.]]&lt;=6,1,0)</f>
        <v>1</v>
      </c>
      <c r="J4" s="6" t="str">
        <f>TEXT(DynamicTable1[[#This Row],[Fecha de creación]],"DDDD")</f>
        <v>miércoles</v>
      </c>
      <c r="K4" s="6">
        <f>IF(DynamicTable1[[#This Row],[dia]]="Viernes",4,IF(DynamicTable1[[#This Row],[dia]]="Sábado",2,IF(DynamicTable1[[#This Row],[dia]]="Domingo",1,0)))</f>
        <v>0</v>
      </c>
    </row>
    <row r="5" spans="1:11" hidden="1" x14ac:dyDescent="0.25">
      <c r="A5" t="s">
        <v>40</v>
      </c>
      <c r="B5" t="s">
        <v>19</v>
      </c>
      <c r="C5"/>
      <c r="D5" t="s">
        <v>11</v>
      </c>
      <c r="E5" t="s">
        <v>41</v>
      </c>
      <c r="F5" s="8">
        <v>46113</v>
      </c>
      <c r="G5" s="8">
        <v>46114</v>
      </c>
      <c r="H5" s="6">
        <f>DynamicTable1[[#This Row],[Fecha de cierre]]-DynamicTable1[[#This Row],[Fecha de creación]]</f>
        <v>1</v>
      </c>
      <c r="I5" s="4">
        <f>IF(DynamicTable1[[#This Row],[Permite agregar una columna.]]&lt;=6,1,0)</f>
        <v>1</v>
      </c>
      <c r="J5" s="6" t="str">
        <f>TEXT(DynamicTable1[[#This Row],[Fecha de creación]],"DDDD")</f>
        <v>miércoles</v>
      </c>
      <c r="K5" s="6">
        <f>IF(DynamicTable1[[#This Row],[dia]]="Viernes",4,IF(DynamicTable1[[#This Row],[dia]]="Sábado",2,IF(DynamicTable1[[#This Row],[dia]]="Domingo",1,0)))</f>
        <v>0</v>
      </c>
    </row>
    <row r="6" spans="1:11" hidden="1" x14ac:dyDescent="0.25">
      <c r="A6" t="s">
        <v>42</v>
      </c>
      <c r="B6" t="s">
        <v>13</v>
      </c>
      <c r="C6"/>
      <c r="D6" t="s">
        <v>11</v>
      </c>
      <c r="E6" t="s">
        <v>43</v>
      </c>
      <c r="F6" s="8">
        <v>46113</v>
      </c>
      <c r="G6" s="8">
        <v>46119</v>
      </c>
      <c r="H6" s="6">
        <f>DynamicTable1[[#This Row],[Fecha de cierre]]-DynamicTable1[[#This Row],[Fecha de creación]]</f>
        <v>6</v>
      </c>
      <c r="I6" s="4">
        <f>IF(DynamicTable1[[#This Row],[Permite agregar una columna.]]&lt;=6,1,0)</f>
        <v>1</v>
      </c>
      <c r="J6" s="6" t="str">
        <f>TEXT(DynamicTable1[[#This Row],[Fecha de creación]],"DDDD")</f>
        <v>miércoles</v>
      </c>
      <c r="K6" s="6">
        <f>IF(DynamicTable1[[#This Row],[dia]]="Viernes",4,IF(DynamicTable1[[#This Row],[dia]]="Sábado",2,IF(DynamicTable1[[#This Row],[dia]]="Domingo",1,0)))</f>
        <v>0</v>
      </c>
    </row>
    <row r="7" spans="1:11" x14ac:dyDescent="0.25">
      <c r="A7" t="s">
        <v>44</v>
      </c>
      <c r="B7" t="s">
        <v>13</v>
      </c>
      <c r="C7" t="s">
        <v>24</v>
      </c>
      <c r="D7" t="s">
        <v>11</v>
      </c>
      <c r="E7" t="s">
        <v>45</v>
      </c>
      <c r="F7" s="8">
        <v>46113</v>
      </c>
      <c r="G7" s="8">
        <v>46113</v>
      </c>
      <c r="H7" s="6">
        <f>DynamicTable1[[#This Row],[Fecha de cierre]]-DynamicTable1[[#This Row],[Fecha de creación]]</f>
        <v>0</v>
      </c>
      <c r="I7" s="4">
        <f>IF(DynamicTable1[[#This Row],[Permite agregar una columna.]]&lt;=6,1,0)</f>
        <v>1</v>
      </c>
      <c r="J7" s="6" t="str">
        <f>TEXT(DynamicTable1[[#This Row],[Fecha de creación]],"DDDD")</f>
        <v>miércoles</v>
      </c>
      <c r="K7" s="6">
        <f>IF(DynamicTable1[[#This Row],[dia]]="Viernes",4,IF(DynamicTable1[[#This Row],[dia]]="Sábado",2,IF(DynamicTable1[[#This Row],[dia]]="Domingo",1,0)))</f>
        <v>0</v>
      </c>
    </row>
    <row r="8" spans="1:11" hidden="1" x14ac:dyDescent="0.25">
      <c r="A8" t="s">
        <v>46</v>
      </c>
      <c r="B8" t="s">
        <v>13</v>
      </c>
      <c r="C8"/>
      <c r="D8" t="s">
        <v>11</v>
      </c>
      <c r="E8" t="s">
        <v>47</v>
      </c>
      <c r="F8" s="8">
        <v>46113</v>
      </c>
      <c r="G8" s="8">
        <v>46113</v>
      </c>
      <c r="H8" s="6">
        <f>DynamicTable1[[#This Row],[Fecha de cierre]]-DynamicTable1[[#This Row],[Fecha de creación]]</f>
        <v>0</v>
      </c>
      <c r="I8" s="4">
        <f>IF(DynamicTable1[[#This Row],[Permite agregar una columna.]]&lt;=6,1,0)</f>
        <v>1</v>
      </c>
      <c r="J8" s="6" t="str">
        <f>TEXT(DynamicTable1[[#This Row],[Fecha de creación]],"DDDD")</f>
        <v>miércoles</v>
      </c>
      <c r="K8" s="6">
        <f>IF(DynamicTable1[[#This Row],[dia]]="Viernes",4,IF(DynamicTable1[[#This Row],[dia]]="Sábado",2,IF(DynamicTable1[[#This Row],[dia]]="Domingo",1,0)))</f>
        <v>0</v>
      </c>
    </row>
    <row r="9" spans="1:11" hidden="1" x14ac:dyDescent="0.25">
      <c r="A9" t="s">
        <v>48</v>
      </c>
      <c r="B9" t="s">
        <v>13</v>
      </c>
      <c r="C9" t="s">
        <v>20</v>
      </c>
      <c r="D9" t="s">
        <v>11</v>
      </c>
      <c r="E9" t="s">
        <v>49</v>
      </c>
      <c r="F9" s="8">
        <v>46113</v>
      </c>
      <c r="G9" s="8">
        <v>46135</v>
      </c>
      <c r="H9" s="6">
        <f>DynamicTable1[[#This Row],[Fecha de cierre]]-DynamicTable1[[#This Row],[Fecha de creación]]</f>
        <v>22</v>
      </c>
      <c r="I9" s="4">
        <f>IF(DynamicTable1[[#This Row],[Permite agregar una columna.]]&lt;=6,1,0)</f>
        <v>0</v>
      </c>
      <c r="J9" s="6" t="str">
        <f>TEXT(DynamicTable1[[#This Row],[Fecha de creación]],"DDDD")</f>
        <v>miércoles</v>
      </c>
      <c r="K9" s="6">
        <f>IF(DynamicTable1[[#This Row],[dia]]="Viernes",4,IF(DynamicTable1[[#This Row],[dia]]="Sábado",2,IF(DynamicTable1[[#This Row],[dia]]="Domingo",1,0)))</f>
        <v>0</v>
      </c>
    </row>
    <row r="10" spans="1:11" x14ac:dyDescent="0.25">
      <c r="A10" t="s">
        <v>50</v>
      </c>
      <c r="B10" t="s">
        <v>17</v>
      </c>
      <c r="C10" t="s">
        <v>24</v>
      </c>
      <c r="D10" t="s">
        <v>11</v>
      </c>
      <c r="E10" t="s">
        <v>51</v>
      </c>
      <c r="F10" s="8">
        <v>46113</v>
      </c>
      <c r="G10" s="8">
        <v>46119</v>
      </c>
      <c r="H10" s="6">
        <f>DynamicTable1[[#This Row],[Fecha de cierre]]-DynamicTable1[[#This Row],[Fecha de creación]]</f>
        <v>6</v>
      </c>
      <c r="I10" s="4">
        <f>IF(DynamicTable1[[#This Row],[Permite agregar una columna.]]&lt;=6,1,0)</f>
        <v>1</v>
      </c>
      <c r="J10" s="6" t="str">
        <f>TEXT(DynamicTable1[[#This Row],[Fecha de creación]],"DDDD")</f>
        <v>miércoles</v>
      </c>
      <c r="K10" s="6">
        <f>IF(DynamicTable1[[#This Row],[dia]]="Viernes",4,IF(DynamicTable1[[#This Row],[dia]]="Sábado",2,IF(DynamicTable1[[#This Row],[dia]]="Domingo",1,0)))</f>
        <v>0</v>
      </c>
    </row>
    <row r="11" spans="1:11" hidden="1" x14ac:dyDescent="0.25">
      <c r="A11" t="s">
        <v>52</v>
      </c>
      <c r="B11" t="s">
        <v>13</v>
      </c>
      <c r="C11"/>
      <c r="D11" t="s">
        <v>11</v>
      </c>
      <c r="E11" t="s">
        <v>53</v>
      </c>
      <c r="F11" s="8">
        <v>46113</v>
      </c>
      <c r="G11" s="8">
        <v>46113</v>
      </c>
      <c r="H11" s="6">
        <f>DynamicTable1[[#This Row],[Fecha de cierre]]-DynamicTable1[[#This Row],[Fecha de creación]]</f>
        <v>0</v>
      </c>
      <c r="I11" s="4">
        <f>IF(DynamicTable1[[#This Row],[Permite agregar una columna.]]&lt;=6,1,0)</f>
        <v>1</v>
      </c>
      <c r="J11" s="6" t="str">
        <f>TEXT(DynamicTable1[[#This Row],[Fecha de creación]],"DDDD")</f>
        <v>miércoles</v>
      </c>
      <c r="K11" s="6">
        <f>IF(DynamicTable1[[#This Row],[dia]]="Viernes",4,IF(DynamicTable1[[#This Row],[dia]]="Sábado",2,IF(DynamicTable1[[#This Row],[dia]]="Domingo",1,0)))</f>
        <v>0</v>
      </c>
    </row>
    <row r="12" spans="1:11" x14ac:dyDescent="0.25">
      <c r="A12" t="s">
        <v>54</v>
      </c>
      <c r="B12" t="s">
        <v>14</v>
      </c>
      <c r="C12" t="s">
        <v>24</v>
      </c>
      <c r="D12" t="s">
        <v>11</v>
      </c>
      <c r="E12" t="s">
        <v>55</v>
      </c>
      <c r="F12" s="8">
        <v>46113</v>
      </c>
      <c r="G12" s="8">
        <v>46118</v>
      </c>
      <c r="H12" s="6">
        <f>DynamicTable1[[#This Row],[Fecha de cierre]]-DynamicTable1[[#This Row],[Fecha de creación]]</f>
        <v>5</v>
      </c>
      <c r="I12" s="4">
        <f>IF(DynamicTable1[[#This Row],[Permite agregar una columna.]]&lt;=6,1,0)</f>
        <v>1</v>
      </c>
      <c r="J12" s="6" t="str">
        <f>TEXT(DynamicTable1[[#This Row],[Fecha de creación]],"DDDD")</f>
        <v>miércoles</v>
      </c>
      <c r="K12" s="6">
        <f>IF(DynamicTable1[[#This Row],[dia]]="Viernes",4,IF(DynamicTable1[[#This Row],[dia]]="Sábado",2,IF(DynamicTable1[[#This Row],[dia]]="Domingo",1,0)))</f>
        <v>0</v>
      </c>
    </row>
    <row r="13" spans="1:11" hidden="1" x14ac:dyDescent="0.25">
      <c r="A13" t="s">
        <v>56</v>
      </c>
      <c r="B13" t="s">
        <v>17</v>
      </c>
      <c r="C13"/>
      <c r="D13" t="s">
        <v>11</v>
      </c>
      <c r="E13" t="s">
        <v>57</v>
      </c>
      <c r="F13" s="8">
        <v>46113</v>
      </c>
      <c r="G13" s="8">
        <v>46127</v>
      </c>
      <c r="H13" s="6">
        <f>DynamicTable1[[#This Row],[Fecha de cierre]]-DynamicTable1[[#This Row],[Fecha de creación]]</f>
        <v>14</v>
      </c>
      <c r="I13" s="4">
        <f>IF(DynamicTable1[[#This Row],[Permite agregar una columna.]]&lt;=6,1,0)</f>
        <v>0</v>
      </c>
      <c r="J13" s="6" t="str">
        <f>TEXT(DynamicTable1[[#This Row],[Fecha de creación]],"DDDD")</f>
        <v>miércoles</v>
      </c>
      <c r="K13" s="6">
        <f>IF(DynamicTable1[[#This Row],[dia]]="Viernes",4,IF(DynamicTable1[[#This Row],[dia]]="Sábado",2,IF(DynamicTable1[[#This Row],[dia]]="Domingo",1,0)))</f>
        <v>0</v>
      </c>
    </row>
    <row r="14" spans="1:11" hidden="1" x14ac:dyDescent="0.25">
      <c r="A14" t="s">
        <v>58</v>
      </c>
      <c r="B14" t="s">
        <v>13</v>
      </c>
      <c r="C14"/>
      <c r="D14" t="s">
        <v>11</v>
      </c>
      <c r="E14" t="s">
        <v>59</v>
      </c>
      <c r="F14" s="8">
        <v>46113</v>
      </c>
      <c r="G14" s="8">
        <v>46113</v>
      </c>
      <c r="H14" s="6">
        <f>DynamicTable1[[#This Row],[Fecha de cierre]]-DynamicTable1[[#This Row],[Fecha de creación]]</f>
        <v>0</v>
      </c>
      <c r="I14" s="4">
        <f>IF(DynamicTable1[[#This Row],[Permite agregar una columna.]]&lt;=6,1,0)</f>
        <v>1</v>
      </c>
      <c r="J14" s="6" t="str">
        <f>TEXT(DynamicTable1[[#This Row],[Fecha de creación]],"DDDD")</f>
        <v>miércoles</v>
      </c>
      <c r="K14" s="6">
        <f>IF(DynamicTable1[[#This Row],[dia]]="Viernes",4,IF(DynamicTable1[[#This Row],[dia]]="Sábado",2,IF(DynamicTable1[[#This Row],[dia]]="Domingo",1,0)))</f>
        <v>0</v>
      </c>
    </row>
    <row r="15" spans="1:11" hidden="1" x14ac:dyDescent="0.25">
      <c r="A15" t="s">
        <v>60</v>
      </c>
      <c r="B15" t="s">
        <v>19</v>
      </c>
      <c r="C15" t="s">
        <v>12</v>
      </c>
      <c r="D15" t="s">
        <v>11</v>
      </c>
      <c r="E15" t="s">
        <v>61</v>
      </c>
      <c r="F15" s="8">
        <v>46113</v>
      </c>
      <c r="G15" s="8">
        <v>46119</v>
      </c>
      <c r="H15" s="6">
        <f>DynamicTable1[[#This Row],[Fecha de cierre]]-DynamicTable1[[#This Row],[Fecha de creación]]</f>
        <v>6</v>
      </c>
      <c r="I15" s="4">
        <f>IF(DynamicTable1[[#This Row],[Permite agregar una columna.]]&lt;=6,1,0)</f>
        <v>1</v>
      </c>
      <c r="J15" s="6" t="str">
        <f>TEXT(DynamicTable1[[#This Row],[Fecha de creación]],"DDDD")</f>
        <v>miércoles</v>
      </c>
      <c r="K15" s="6">
        <f>IF(DynamicTable1[[#This Row],[dia]]="Viernes",4,IF(DynamicTable1[[#This Row],[dia]]="Sábado",2,IF(DynamicTable1[[#This Row],[dia]]="Domingo",1,0)))</f>
        <v>0</v>
      </c>
    </row>
    <row r="16" spans="1:11" hidden="1" x14ac:dyDescent="0.25">
      <c r="A16" t="s">
        <v>62</v>
      </c>
      <c r="B16" t="s">
        <v>13</v>
      </c>
      <c r="C16" t="s">
        <v>12</v>
      </c>
      <c r="D16" t="s">
        <v>11</v>
      </c>
      <c r="E16" t="s">
        <v>63</v>
      </c>
      <c r="F16" s="8">
        <v>46113</v>
      </c>
      <c r="G16" s="8">
        <v>46119</v>
      </c>
      <c r="H16" s="6">
        <f>DynamicTable1[[#This Row],[Fecha de cierre]]-DynamicTable1[[#This Row],[Fecha de creación]]</f>
        <v>6</v>
      </c>
      <c r="I16" s="4">
        <f>IF(DynamicTable1[[#This Row],[Permite agregar una columna.]]&lt;=6,1,0)</f>
        <v>1</v>
      </c>
      <c r="J16" s="6" t="str">
        <f>TEXT(DynamicTable1[[#This Row],[Fecha de creación]],"DDDD")</f>
        <v>miércoles</v>
      </c>
      <c r="K16" s="6">
        <f>IF(DynamicTable1[[#This Row],[dia]]="Viernes",4,IF(DynamicTable1[[#This Row],[dia]]="Sábado",2,IF(DynamicTable1[[#This Row],[dia]]="Domingo",1,0)))</f>
        <v>0</v>
      </c>
    </row>
    <row r="17" spans="1:11" hidden="1" x14ac:dyDescent="0.25">
      <c r="A17" t="s">
        <v>64</v>
      </c>
      <c r="B17" t="s">
        <v>13</v>
      </c>
      <c r="C17" t="s">
        <v>12</v>
      </c>
      <c r="D17" t="s">
        <v>11</v>
      </c>
      <c r="E17" t="s">
        <v>65</v>
      </c>
      <c r="F17" s="8">
        <v>46113</v>
      </c>
      <c r="G17" s="8">
        <v>46119</v>
      </c>
      <c r="H17" s="6">
        <f>DynamicTable1[[#This Row],[Fecha de cierre]]-DynamicTable1[[#This Row],[Fecha de creación]]</f>
        <v>6</v>
      </c>
      <c r="I17" s="4">
        <f>IF(DynamicTable1[[#This Row],[Permite agregar una columna.]]&lt;=6,1,0)</f>
        <v>1</v>
      </c>
      <c r="J17" s="6" t="str">
        <f>TEXT(DynamicTable1[[#This Row],[Fecha de creación]],"DDDD")</f>
        <v>miércoles</v>
      </c>
      <c r="K17" s="6">
        <f>IF(DynamicTable1[[#This Row],[dia]]="Viernes",4,IF(DynamicTable1[[#This Row],[dia]]="Sábado",2,IF(DynamicTable1[[#This Row],[dia]]="Domingo",1,0)))</f>
        <v>0</v>
      </c>
    </row>
    <row r="18" spans="1:11" hidden="1" x14ac:dyDescent="0.25">
      <c r="A18" t="s">
        <v>66</v>
      </c>
      <c r="B18" t="s">
        <v>13</v>
      </c>
      <c r="C18" t="s">
        <v>12</v>
      </c>
      <c r="D18" t="s">
        <v>11</v>
      </c>
      <c r="E18" t="s">
        <v>67</v>
      </c>
      <c r="F18" s="8">
        <v>46113</v>
      </c>
      <c r="G18" s="8">
        <v>46119</v>
      </c>
      <c r="H18" s="6">
        <f>DynamicTable1[[#This Row],[Fecha de cierre]]-DynamicTable1[[#This Row],[Fecha de creación]]</f>
        <v>6</v>
      </c>
      <c r="I18" s="4">
        <f>IF(DynamicTable1[[#This Row],[Permite agregar una columna.]]&lt;=6,1,0)</f>
        <v>1</v>
      </c>
      <c r="J18" s="6" t="str">
        <f>TEXT(DynamicTable1[[#This Row],[Fecha de creación]],"DDDD")</f>
        <v>miércoles</v>
      </c>
      <c r="K18" s="6">
        <f>IF(DynamicTable1[[#This Row],[dia]]="Viernes",4,IF(DynamicTable1[[#This Row],[dia]]="Sábado",2,IF(DynamicTable1[[#This Row],[dia]]="Domingo",1,0)))</f>
        <v>0</v>
      </c>
    </row>
    <row r="19" spans="1:11" hidden="1" x14ac:dyDescent="0.25">
      <c r="A19" t="s">
        <v>68</v>
      </c>
      <c r="B19" t="s">
        <v>13</v>
      </c>
      <c r="C19"/>
      <c r="D19" t="s">
        <v>11</v>
      </c>
      <c r="E19" t="s">
        <v>69</v>
      </c>
      <c r="F19" s="8">
        <v>46113</v>
      </c>
      <c r="G19" s="8">
        <v>46113</v>
      </c>
      <c r="H19" s="6">
        <f>DynamicTable1[[#This Row],[Fecha de cierre]]-DynamicTable1[[#This Row],[Fecha de creación]]</f>
        <v>0</v>
      </c>
      <c r="I19" s="4">
        <f>IF(DynamicTable1[[#This Row],[Permite agregar una columna.]]&lt;=6,1,0)</f>
        <v>1</v>
      </c>
      <c r="J19" s="6" t="str">
        <f>TEXT(DynamicTable1[[#This Row],[Fecha de creación]],"DDDD")</f>
        <v>miércoles</v>
      </c>
      <c r="K19" s="6">
        <f>IF(DynamicTable1[[#This Row],[dia]]="Viernes",4,IF(DynamicTable1[[#This Row],[dia]]="Sábado",2,IF(DynamicTable1[[#This Row],[dia]]="Domingo",1,0)))</f>
        <v>0</v>
      </c>
    </row>
    <row r="20" spans="1:11" hidden="1" x14ac:dyDescent="0.25">
      <c r="A20" t="s">
        <v>70</v>
      </c>
      <c r="B20" t="s">
        <v>13</v>
      </c>
      <c r="C20"/>
      <c r="D20" t="s">
        <v>11</v>
      </c>
      <c r="E20" t="s">
        <v>71</v>
      </c>
      <c r="F20" s="8">
        <v>46114</v>
      </c>
      <c r="G20" s="8">
        <v>46119</v>
      </c>
      <c r="H20" s="6">
        <f>DynamicTable1[[#This Row],[Fecha de cierre]]-DynamicTable1[[#This Row],[Fecha de creación]]</f>
        <v>5</v>
      </c>
      <c r="I20" s="4">
        <f>IF(DynamicTable1[[#This Row],[Permite agregar una columna.]]&lt;=6,1,0)</f>
        <v>1</v>
      </c>
      <c r="J20" s="6" t="str">
        <f>TEXT(DynamicTable1[[#This Row],[Fecha de creación]],"DDDD")</f>
        <v>jueves</v>
      </c>
      <c r="K20" s="6">
        <f>IF(DynamicTable1[[#This Row],[dia]]="Viernes",4,IF(DynamicTable1[[#This Row],[dia]]="Sábado",2,IF(DynamicTable1[[#This Row],[dia]]="Domingo",1,0)))</f>
        <v>0</v>
      </c>
    </row>
    <row r="21" spans="1:11" x14ac:dyDescent="0.25">
      <c r="A21" t="s">
        <v>72</v>
      </c>
      <c r="B21" t="s">
        <v>14</v>
      </c>
      <c r="C21" t="s">
        <v>24</v>
      </c>
      <c r="D21" t="s">
        <v>11</v>
      </c>
      <c r="E21" t="s">
        <v>73</v>
      </c>
      <c r="F21" s="8">
        <v>46114</v>
      </c>
      <c r="G21" s="8">
        <v>46119</v>
      </c>
      <c r="H21" s="6">
        <f>DynamicTable1[[#This Row],[Fecha de cierre]]-DynamicTable1[[#This Row],[Fecha de creación]]</f>
        <v>5</v>
      </c>
      <c r="I21" s="4">
        <f>IF(DynamicTable1[[#This Row],[Permite agregar una columna.]]&lt;=6,1,0)</f>
        <v>1</v>
      </c>
      <c r="J21" s="6" t="str">
        <f>TEXT(DynamicTable1[[#This Row],[Fecha de creación]],"DDDD")</f>
        <v>jueves</v>
      </c>
      <c r="K21" s="6">
        <f>IF(DynamicTable1[[#This Row],[dia]]="Viernes",4,IF(DynamicTable1[[#This Row],[dia]]="Sábado",2,IF(DynamicTable1[[#This Row],[dia]]="Domingo",1,0)))</f>
        <v>0</v>
      </c>
    </row>
    <row r="22" spans="1:11" hidden="1" x14ac:dyDescent="0.25">
      <c r="A22" t="s">
        <v>74</v>
      </c>
      <c r="B22" t="s">
        <v>19</v>
      </c>
      <c r="C22"/>
      <c r="D22" t="s">
        <v>11</v>
      </c>
      <c r="E22" t="s">
        <v>75</v>
      </c>
      <c r="F22" s="8">
        <v>46114</v>
      </c>
      <c r="G22" s="8">
        <v>46114</v>
      </c>
      <c r="H22" s="6">
        <f>DynamicTable1[[#This Row],[Fecha de cierre]]-DynamicTable1[[#This Row],[Fecha de creación]]</f>
        <v>0</v>
      </c>
      <c r="I22" s="4">
        <f>IF(DynamicTable1[[#This Row],[Permite agregar una columna.]]&lt;=6,1,0)</f>
        <v>1</v>
      </c>
      <c r="J22" s="6" t="str">
        <f>TEXT(DynamicTable1[[#This Row],[Fecha de creación]],"DDDD")</f>
        <v>jueves</v>
      </c>
      <c r="K22" s="6">
        <f>IF(DynamicTable1[[#This Row],[dia]]="Viernes",4,IF(DynamicTable1[[#This Row],[dia]]="Sábado",2,IF(DynamicTable1[[#This Row],[dia]]="Domingo",1,0)))</f>
        <v>0</v>
      </c>
    </row>
    <row r="23" spans="1:11" hidden="1" x14ac:dyDescent="0.25">
      <c r="A23" t="s">
        <v>33</v>
      </c>
      <c r="B23" t="s">
        <v>19</v>
      </c>
      <c r="C23"/>
      <c r="D23" t="s">
        <v>11</v>
      </c>
      <c r="E23" t="s">
        <v>76</v>
      </c>
      <c r="F23" s="8">
        <v>46114</v>
      </c>
      <c r="G23" s="8">
        <v>46119</v>
      </c>
      <c r="H23" s="6">
        <f>DynamicTable1[[#This Row],[Fecha de cierre]]-DynamicTable1[[#This Row],[Fecha de creación]]</f>
        <v>5</v>
      </c>
      <c r="I23" s="4">
        <f>IF(DynamicTable1[[#This Row],[Permite agregar una columna.]]&lt;=6,1,0)</f>
        <v>1</v>
      </c>
      <c r="J23" s="6" t="str">
        <f>TEXT(DynamicTable1[[#This Row],[Fecha de creación]],"DDDD")</f>
        <v>jueves</v>
      </c>
      <c r="K23" s="6">
        <f>IF(DynamicTable1[[#This Row],[dia]]="Viernes",4,IF(DynamicTable1[[#This Row],[dia]]="Sábado",2,IF(DynamicTable1[[#This Row],[dia]]="Domingo",1,0)))</f>
        <v>0</v>
      </c>
    </row>
    <row r="24" spans="1:11" hidden="1" x14ac:dyDescent="0.25">
      <c r="A24" t="s">
        <v>77</v>
      </c>
      <c r="B24" t="s">
        <v>29</v>
      </c>
      <c r="C24" t="s">
        <v>12</v>
      </c>
      <c r="D24" t="s">
        <v>21</v>
      </c>
      <c r="E24" t="s">
        <v>78</v>
      </c>
      <c r="F24" s="8">
        <v>46118</v>
      </c>
      <c r="G24" s="8"/>
      <c r="H24" s="6">
        <f>DynamicTable1[[#This Row],[Fecha de cierre]]-DynamicTable1[[#This Row],[Fecha de creación]]</f>
        <v>-46118</v>
      </c>
      <c r="I24" s="4">
        <f>IF(DynamicTable1[[#This Row],[Permite agregar una columna.]]&lt;=6,1,0)</f>
        <v>1</v>
      </c>
      <c r="J24" s="6" t="str">
        <f>TEXT(DynamicTable1[[#This Row],[Fecha de creación]],"DDDD")</f>
        <v>lunes</v>
      </c>
      <c r="K24" s="6">
        <f>IF(DynamicTable1[[#This Row],[dia]]="Viernes",4,IF(DynamicTable1[[#This Row],[dia]]="Sábado",2,IF(DynamicTable1[[#This Row],[dia]]="Domingo",1,0)))</f>
        <v>0</v>
      </c>
    </row>
    <row r="25" spans="1:11" hidden="1" x14ac:dyDescent="0.25">
      <c r="A25" t="s">
        <v>79</v>
      </c>
      <c r="B25" t="s">
        <v>19</v>
      </c>
      <c r="C25"/>
      <c r="D25" t="s">
        <v>11</v>
      </c>
      <c r="E25" t="s">
        <v>80</v>
      </c>
      <c r="F25" s="8">
        <v>46118</v>
      </c>
      <c r="G25" s="8">
        <v>46119</v>
      </c>
      <c r="H25" s="6">
        <f>DynamicTable1[[#This Row],[Fecha de cierre]]-DynamicTable1[[#This Row],[Fecha de creación]]</f>
        <v>1</v>
      </c>
      <c r="I25" s="4">
        <f>IF(DynamicTable1[[#This Row],[Permite agregar una columna.]]&lt;=6,1,0)</f>
        <v>1</v>
      </c>
      <c r="J25" s="6" t="str">
        <f>TEXT(DynamicTable1[[#This Row],[Fecha de creación]],"DDDD")</f>
        <v>lunes</v>
      </c>
      <c r="K25" s="6">
        <f>IF(DynamicTable1[[#This Row],[dia]]="Viernes",4,IF(DynamicTable1[[#This Row],[dia]]="Sábado",2,IF(DynamicTable1[[#This Row],[dia]]="Domingo",1,0)))</f>
        <v>0</v>
      </c>
    </row>
    <row r="26" spans="1:11" hidden="1" x14ac:dyDescent="0.25">
      <c r="A26" t="s">
        <v>81</v>
      </c>
      <c r="B26" t="s">
        <v>13</v>
      </c>
      <c r="C26"/>
      <c r="D26" t="s">
        <v>11</v>
      </c>
      <c r="E26" t="s">
        <v>82</v>
      </c>
      <c r="F26" s="8">
        <v>46118</v>
      </c>
      <c r="G26" s="8">
        <v>46118</v>
      </c>
      <c r="H26" s="6">
        <f>DynamicTable1[[#This Row],[Fecha de cierre]]-DynamicTable1[[#This Row],[Fecha de creación]]</f>
        <v>0</v>
      </c>
      <c r="I26" s="4">
        <f>IF(DynamicTable1[[#This Row],[Permite agregar una columna.]]&lt;=6,1,0)</f>
        <v>1</v>
      </c>
      <c r="J26" s="6" t="str">
        <f>TEXT(DynamicTable1[[#This Row],[Fecha de creación]],"DDDD")</f>
        <v>lunes</v>
      </c>
      <c r="K26" s="6">
        <f>IF(DynamicTable1[[#This Row],[dia]]="Viernes",4,IF(DynamicTable1[[#This Row],[dia]]="Sábado",2,IF(DynamicTable1[[#This Row],[dia]]="Domingo",1,0)))</f>
        <v>0</v>
      </c>
    </row>
    <row r="27" spans="1:11" hidden="1" x14ac:dyDescent="0.25">
      <c r="A27" t="s">
        <v>83</v>
      </c>
      <c r="B27" t="s">
        <v>13</v>
      </c>
      <c r="C27"/>
      <c r="D27" t="s">
        <v>11</v>
      </c>
      <c r="E27" t="s">
        <v>84</v>
      </c>
      <c r="F27" s="8">
        <v>46118</v>
      </c>
      <c r="G27" s="8">
        <v>46118</v>
      </c>
      <c r="H27" s="6">
        <f>DynamicTable1[[#This Row],[Fecha de cierre]]-DynamicTable1[[#This Row],[Fecha de creación]]</f>
        <v>0</v>
      </c>
      <c r="I27" s="4">
        <f>IF(DynamicTable1[[#This Row],[Permite agregar una columna.]]&lt;=6,1,0)</f>
        <v>1</v>
      </c>
      <c r="J27" s="6" t="str">
        <f>TEXT(DynamicTable1[[#This Row],[Fecha de creación]],"DDDD")</f>
        <v>lunes</v>
      </c>
      <c r="K27" s="6">
        <f>IF(DynamicTable1[[#This Row],[dia]]="Viernes",4,IF(DynamicTable1[[#This Row],[dia]]="Sábado",2,IF(DynamicTable1[[#This Row],[dia]]="Domingo",1,0)))</f>
        <v>0</v>
      </c>
    </row>
    <row r="28" spans="1:11" x14ac:dyDescent="0.25">
      <c r="A28" t="s">
        <v>85</v>
      </c>
      <c r="B28" t="s">
        <v>29</v>
      </c>
      <c r="C28" t="s">
        <v>24</v>
      </c>
      <c r="D28" t="s">
        <v>11</v>
      </c>
      <c r="E28" t="s">
        <v>86</v>
      </c>
      <c r="F28" s="8">
        <v>46118</v>
      </c>
      <c r="G28" s="8">
        <v>46126</v>
      </c>
      <c r="H28" s="6">
        <f>DynamicTable1[[#This Row],[Fecha de cierre]]-DynamicTable1[[#This Row],[Fecha de creación]]</f>
        <v>8</v>
      </c>
      <c r="I28" s="4">
        <f>IF(DynamicTable1[[#This Row],[Permite agregar una columna.]]&lt;=6,1,0)</f>
        <v>0</v>
      </c>
      <c r="J28" s="6" t="str">
        <f>TEXT(DynamicTable1[[#This Row],[Fecha de creación]],"DDDD")</f>
        <v>lunes</v>
      </c>
      <c r="K28" s="6">
        <f>IF(DynamicTable1[[#This Row],[dia]]="Viernes",4,IF(DynamicTable1[[#This Row],[dia]]="Sábado",2,IF(DynamicTable1[[#This Row],[dia]]="Domingo",1,0)))</f>
        <v>0</v>
      </c>
    </row>
    <row r="29" spans="1:11" x14ac:dyDescent="0.25">
      <c r="A29" t="s">
        <v>87</v>
      </c>
      <c r="B29" t="s">
        <v>13</v>
      </c>
      <c r="C29" t="s">
        <v>24</v>
      </c>
      <c r="D29" t="s">
        <v>11</v>
      </c>
      <c r="E29" t="s">
        <v>88</v>
      </c>
      <c r="F29" s="8">
        <v>46118</v>
      </c>
      <c r="G29" s="8">
        <v>46118</v>
      </c>
      <c r="H29" s="6">
        <f>DynamicTable1[[#This Row],[Fecha de cierre]]-DynamicTable1[[#This Row],[Fecha de creación]]</f>
        <v>0</v>
      </c>
      <c r="I29" s="4">
        <f>IF(DynamicTable1[[#This Row],[Permite agregar una columna.]]&lt;=6,1,0)</f>
        <v>1</v>
      </c>
      <c r="J29" s="6" t="str">
        <f>TEXT(DynamicTable1[[#This Row],[Fecha de creación]],"DDDD")</f>
        <v>lunes</v>
      </c>
      <c r="K29" s="6">
        <f>IF(DynamicTable1[[#This Row],[dia]]="Viernes",4,IF(DynamicTable1[[#This Row],[dia]]="Sábado",2,IF(DynamicTable1[[#This Row],[dia]]="Domingo",1,0)))</f>
        <v>0</v>
      </c>
    </row>
    <row r="30" spans="1:11" x14ac:dyDescent="0.25">
      <c r="A30" t="s">
        <v>89</v>
      </c>
      <c r="B30" t="s">
        <v>17</v>
      </c>
      <c r="C30" t="s">
        <v>24</v>
      </c>
      <c r="D30" t="s">
        <v>11</v>
      </c>
      <c r="E30" t="s">
        <v>90</v>
      </c>
      <c r="F30" s="8">
        <v>46118</v>
      </c>
      <c r="G30" s="8">
        <v>46119</v>
      </c>
      <c r="H30" s="6">
        <f>DynamicTable1[[#This Row],[Fecha de cierre]]-DynamicTable1[[#This Row],[Fecha de creación]]</f>
        <v>1</v>
      </c>
      <c r="I30" s="4">
        <f>IF(DynamicTable1[[#This Row],[Permite agregar una columna.]]&lt;=6,1,0)</f>
        <v>1</v>
      </c>
      <c r="J30" s="6" t="str">
        <f>TEXT(DynamicTable1[[#This Row],[Fecha de creación]],"DDDD")</f>
        <v>lunes</v>
      </c>
      <c r="K30" s="6">
        <f>IF(DynamicTable1[[#This Row],[dia]]="Viernes",4,IF(DynamicTable1[[#This Row],[dia]]="Sábado",2,IF(DynamicTable1[[#This Row],[dia]]="Domingo",1,0)))</f>
        <v>0</v>
      </c>
    </row>
    <row r="31" spans="1:11" x14ac:dyDescent="0.25">
      <c r="A31" t="s">
        <v>91</v>
      </c>
      <c r="B31" t="s">
        <v>92</v>
      </c>
      <c r="C31" t="s">
        <v>24</v>
      </c>
      <c r="D31" t="s">
        <v>11</v>
      </c>
      <c r="E31" t="s">
        <v>93</v>
      </c>
      <c r="F31" s="8">
        <v>46118</v>
      </c>
      <c r="G31" s="8">
        <v>46119</v>
      </c>
      <c r="H31" s="6">
        <f>DynamicTable1[[#This Row],[Fecha de cierre]]-DynamicTable1[[#This Row],[Fecha de creación]]</f>
        <v>1</v>
      </c>
      <c r="I31" s="4">
        <f>IF(DynamicTable1[[#This Row],[Permite agregar una columna.]]&lt;=6,1,0)</f>
        <v>1</v>
      </c>
      <c r="J31" s="6" t="str">
        <f>TEXT(DynamicTable1[[#This Row],[Fecha de creación]],"DDDD")</f>
        <v>lunes</v>
      </c>
      <c r="K31" s="6">
        <f>IF(DynamicTable1[[#This Row],[dia]]="Viernes",4,IF(DynamicTable1[[#This Row],[dia]]="Sábado",2,IF(DynamicTable1[[#This Row],[dia]]="Domingo",1,0)))</f>
        <v>0</v>
      </c>
    </row>
    <row r="32" spans="1:11" x14ac:dyDescent="0.25">
      <c r="A32" t="s">
        <v>94</v>
      </c>
      <c r="B32" t="s">
        <v>17</v>
      </c>
      <c r="C32" t="s">
        <v>24</v>
      </c>
      <c r="D32" t="s">
        <v>11</v>
      </c>
      <c r="E32" t="s">
        <v>95</v>
      </c>
      <c r="F32" s="8">
        <v>46118</v>
      </c>
      <c r="G32" s="8">
        <v>46119</v>
      </c>
      <c r="H32" s="6">
        <f>DynamicTable1[[#This Row],[Fecha de cierre]]-DynamicTable1[[#This Row],[Fecha de creación]]</f>
        <v>1</v>
      </c>
      <c r="I32" s="4">
        <f>IF(DynamicTable1[[#This Row],[Permite agregar una columna.]]&lt;=6,1,0)</f>
        <v>1</v>
      </c>
      <c r="J32" s="6" t="str">
        <f>TEXT(DynamicTable1[[#This Row],[Fecha de creación]],"DDDD")</f>
        <v>lunes</v>
      </c>
      <c r="K32" s="6">
        <f>IF(DynamicTable1[[#This Row],[dia]]="Viernes",4,IF(DynamicTable1[[#This Row],[dia]]="Sábado",2,IF(DynamicTable1[[#This Row],[dia]]="Domingo",1,0)))</f>
        <v>0</v>
      </c>
    </row>
    <row r="33" spans="1:11" hidden="1" x14ac:dyDescent="0.25">
      <c r="A33" t="s">
        <v>96</v>
      </c>
      <c r="B33" t="s">
        <v>17</v>
      </c>
      <c r="C33" t="s">
        <v>12</v>
      </c>
      <c r="D33" t="s">
        <v>11</v>
      </c>
      <c r="E33" t="s">
        <v>97</v>
      </c>
      <c r="F33" s="8">
        <v>46118</v>
      </c>
      <c r="G33" s="8">
        <v>46119</v>
      </c>
      <c r="H33" s="6">
        <f>DynamicTable1[[#This Row],[Fecha de cierre]]-DynamicTable1[[#This Row],[Fecha de creación]]</f>
        <v>1</v>
      </c>
      <c r="I33" s="4">
        <f>IF(DynamicTable1[[#This Row],[Permite agregar una columna.]]&lt;=6,1,0)</f>
        <v>1</v>
      </c>
      <c r="J33" s="6" t="str">
        <f>TEXT(DynamicTable1[[#This Row],[Fecha de creación]],"DDDD")</f>
        <v>lunes</v>
      </c>
      <c r="K33" s="6">
        <f>IF(DynamicTable1[[#This Row],[dia]]="Viernes",4,IF(DynamicTable1[[#This Row],[dia]]="Sábado",2,IF(DynamicTable1[[#This Row],[dia]]="Domingo",1,0)))</f>
        <v>0</v>
      </c>
    </row>
    <row r="34" spans="1:11" hidden="1" x14ac:dyDescent="0.25">
      <c r="A34" t="s">
        <v>98</v>
      </c>
      <c r="B34" t="s">
        <v>13</v>
      </c>
      <c r="C34" t="s">
        <v>12</v>
      </c>
      <c r="D34" t="s">
        <v>11</v>
      </c>
      <c r="E34" t="s">
        <v>99</v>
      </c>
      <c r="F34" s="8">
        <v>46118</v>
      </c>
      <c r="G34" s="8">
        <v>46119</v>
      </c>
      <c r="H34" s="6">
        <f>DynamicTable1[[#This Row],[Fecha de cierre]]-DynamicTable1[[#This Row],[Fecha de creación]]</f>
        <v>1</v>
      </c>
      <c r="I34" s="4">
        <f>IF(DynamicTable1[[#This Row],[Permite agregar una columna.]]&lt;=6,1,0)</f>
        <v>1</v>
      </c>
      <c r="J34" s="6" t="str">
        <f>TEXT(DynamicTable1[[#This Row],[Fecha de creación]],"DDDD")</f>
        <v>lunes</v>
      </c>
      <c r="K34" s="6">
        <f>IF(DynamicTable1[[#This Row],[dia]]="Viernes",4,IF(DynamicTable1[[#This Row],[dia]]="Sábado",2,IF(DynamicTable1[[#This Row],[dia]]="Domingo",1,0)))</f>
        <v>0</v>
      </c>
    </row>
    <row r="35" spans="1:11" hidden="1" x14ac:dyDescent="0.25">
      <c r="A35" t="s">
        <v>100</v>
      </c>
      <c r="B35" t="s">
        <v>30</v>
      </c>
      <c r="C35" t="s">
        <v>20</v>
      </c>
      <c r="D35" t="s">
        <v>21</v>
      </c>
      <c r="E35" t="s">
        <v>101</v>
      </c>
      <c r="F35" s="8">
        <v>46119</v>
      </c>
      <c r="G35" s="8"/>
      <c r="H35" s="6">
        <f>DynamicTable1[[#This Row],[Fecha de cierre]]-DynamicTable1[[#This Row],[Fecha de creación]]</f>
        <v>-46119</v>
      </c>
      <c r="I35" s="4">
        <f>IF(DynamicTable1[[#This Row],[Permite agregar una columna.]]&lt;=6,1,0)</f>
        <v>1</v>
      </c>
      <c r="J35" s="6" t="str">
        <f>TEXT(DynamicTable1[[#This Row],[Fecha de creación]],"DDDD")</f>
        <v>martes</v>
      </c>
      <c r="K35" s="6">
        <f>IF(DynamicTable1[[#This Row],[dia]]="Viernes",4,IF(DynamicTable1[[#This Row],[dia]]="Sábado",2,IF(DynamicTable1[[#This Row],[dia]]="Domingo",1,0)))</f>
        <v>0</v>
      </c>
    </row>
    <row r="36" spans="1:11" hidden="1" x14ac:dyDescent="0.25">
      <c r="A36" t="s">
        <v>102</v>
      </c>
      <c r="B36" t="s">
        <v>13</v>
      </c>
      <c r="C36"/>
      <c r="D36" t="s">
        <v>11</v>
      </c>
      <c r="E36" t="s">
        <v>103</v>
      </c>
      <c r="F36" s="8">
        <v>46119</v>
      </c>
      <c r="G36" s="8">
        <v>46119</v>
      </c>
      <c r="H36" s="6">
        <f>DynamicTable1[[#This Row],[Fecha de cierre]]-DynamicTable1[[#This Row],[Fecha de creación]]</f>
        <v>0</v>
      </c>
      <c r="I36" s="4">
        <f>IF(DynamicTable1[[#This Row],[Permite agregar una columna.]]&lt;=6,1,0)</f>
        <v>1</v>
      </c>
      <c r="J36" s="6" t="str">
        <f>TEXT(DynamicTable1[[#This Row],[Fecha de creación]],"DDDD")</f>
        <v>martes</v>
      </c>
      <c r="K36" s="6">
        <f>IF(DynamicTable1[[#This Row],[dia]]="Viernes",4,IF(DynamicTable1[[#This Row],[dia]]="Sábado",2,IF(DynamicTable1[[#This Row],[dia]]="Domingo",1,0)))</f>
        <v>0</v>
      </c>
    </row>
    <row r="37" spans="1:11" hidden="1" x14ac:dyDescent="0.25">
      <c r="A37" t="s">
        <v>104</v>
      </c>
      <c r="B37" t="s">
        <v>19</v>
      </c>
      <c r="C37" t="s">
        <v>12</v>
      </c>
      <c r="D37" t="s">
        <v>11</v>
      </c>
      <c r="E37" t="s">
        <v>105</v>
      </c>
      <c r="F37" s="8">
        <v>46119</v>
      </c>
      <c r="G37" s="8">
        <v>46119</v>
      </c>
      <c r="H37" s="6">
        <f>DynamicTable1[[#This Row],[Fecha de cierre]]-DynamicTable1[[#This Row],[Fecha de creación]]</f>
        <v>0</v>
      </c>
      <c r="I37" s="4">
        <f>IF(DynamicTable1[[#This Row],[Permite agregar una columna.]]&lt;=6,1,0)</f>
        <v>1</v>
      </c>
      <c r="J37" s="6" t="str">
        <f>TEXT(DynamicTable1[[#This Row],[Fecha de creación]],"DDDD")</f>
        <v>martes</v>
      </c>
      <c r="K37" s="6">
        <f>IF(DynamicTable1[[#This Row],[dia]]="Viernes",4,IF(DynamicTable1[[#This Row],[dia]]="Sábado",2,IF(DynamicTable1[[#This Row],[dia]]="Domingo",1,0)))</f>
        <v>0</v>
      </c>
    </row>
    <row r="38" spans="1:11" hidden="1" x14ac:dyDescent="0.25">
      <c r="A38" t="s">
        <v>106</v>
      </c>
      <c r="B38" t="s">
        <v>29</v>
      </c>
      <c r="C38" t="s">
        <v>12</v>
      </c>
      <c r="D38" t="s">
        <v>11</v>
      </c>
      <c r="E38" t="s">
        <v>107</v>
      </c>
      <c r="F38" s="8">
        <v>46119</v>
      </c>
      <c r="G38" s="8">
        <v>46135</v>
      </c>
      <c r="H38" s="6">
        <f>DynamicTable1[[#This Row],[Fecha de cierre]]-DynamicTable1[[#This Row],[Fecha de creación]]</f>
        <v>16</v>
      </c>
      <c r="I38" s="4">
        <f>IF(DynamicTable1[[#This Row],[Permite agregar una columna.]]&lt;=6,1,0)</f>
        <v>0</v>
      </c>
      <c r="J38" s="6" t="str">
        <f>TEXT(DynamicTable1[[#This Row],[Fecha de creación]],"DDDD")</f>
        <v>martes</v>
      </c>
      <c r="K38" s="6">
        <f>IF(DynamicTable1[[#This Row],[dia]]="Viernes",4,IF(DynamicTable1[[#This Row],[dia]]="Sábado",2,IF(DynamicTable1[[#This Row],[dia]]="Domingo",1,0)))</f>
        <v>0</v>
      </c>
    </row>
    <row r="39" spans="1:11" hidden="1" x14ac:dyDescent="0.25">
      <c r="A39" t="s">
        <v>108</v>
      </c>
      <c r="B39" t="s">
        <v>19</v>
      </c>
      <c r="C39" t="s">
        <v>20</v>
      </c>
      <c r="D39" t="s">
        <v>11</v>
      </c>
      <c r="E39" t="s">
        <v>109</v>
      </c>
      <c r="F39" s="8">
        <v>46119</v>
      </c>
      <c r="G39" s="8">
        <v>46119</v>
      </c>
      <c r="H39" s="6">
        <f>DynamicTable1[[#This Row],[Fecha de cierre]]-DynamicTable1[[#This Row],[Fecha de creación]]</f>
        <v>0</v>
      </c>
      <c r="I39" s="4">
        <f>IF(DynamicTable1[[#This Row],[Permite agregar una columna.]]&lt;=6,1,0)</f>
        <v>1</v>
      </c>
      <c r="J39" s="6" t="str">
        <f>TEXT(DynamicTable1[[#This Row],[Fecha de creación]],"DDDD")</f>
        <v>martes</v>
      </c>
      <c r="K39" s="6">
        <f>IF(DynamicTable1[[#This Row],[dia]]="Viernes",4,IF(DynamicTable1[[#This Row],[dia]]="Sábado",2,IF(DynamicTable1[[#This Row],[dia]]="Domingo",1,0)))</f>
        <v>0</v>
      </c>
    </row>
    <row r="40" spans="1:11" hidden="1" x14ac:dyDescent="0.25">
      <c r="A40" t="s">
        <v>110</v>
      </c>
      <c r="B40" t="s">
        <v>13</v>
      </c>
      <c r="C40"/>
      <c r="D40" t="s">
        <v>11</v>
      </c>
      <c r="E40" t="s">
        <v>111</v>
      </c>
      <c r="F40" s="8">
        <v>46119</v>
      </c>
      <c r="G40" s="8">
        <v>46119</v>
      </c>
      <c r="H40" s="6">
        <f>DynamicTable1[[#This Row],[Fecha de cierre]]-DynamicTable1[[#This Row],[Fecha de creación]]</f>
        <v>0</v>
      </c>
      <c r="I40" s="4">
        <f>IF(DynamicTable1[[#This Row],[Permite agregar una columna.]]&lt;=6,1,0)</f>
        <v>1</v>
      </c>
      <c r="J40" s="6" t="str">
        <f>TEXT(DynamicTable1[[#This Row],[Fecha de creación]],"DDDD")</f>
        <v>martes</v>
      </c>
      <c r="K40" s="6">
        <f>IF(DynamicTable1[[#This Row],[dia]]="Viernes",4,IF(DynamicTable1[[#This Row],[dia]]="Sábado",2,IF(DynamicTable1[[#This Row],[dia]]="Domingo",1,0)))</f>
        <v>0</v>
      </c>
    </row>
    <row r="41" spans="1:11" hidden="1" x14ac:dyDescent="0.25">
      <c r="A41" t="s">
        <v>112</v>
      </c>
      <c r="B41" t="s">
        <v>18</v>
      </c>
      <c r="C41" t="s">
        <v>12</v>
      </c>
      <c r="D41" t="s">
        <v>11</v>
      </c>
      <c r="E41" t="s">
        <v>113</v>
      </c>
      <c r="F41" s="8">
        <v>46119</v>
      </c>
      <c r="G41" s="8">
        <v>46120</v>
      </c>
      <c r="H41" s="6">
        <f>DynamicTable1[[#This Row],[Fecha de cierre]]-DynamicTable1[[#This Row],[Fecha de creación]]</f>
        <v>1</v>
      </c>
      <c r="I41" s="4">
        <f>IF(DynamicTable1[[#This Row],[Permite agregar una columna.]]&lt;=6,1,0)</f>
        <v>1</v>
      </c>
      <c r="J41" s="6" t="str">
        <f>TEXT(DynamicTable1[[#This Row],[Fecha de creación]],"DDDD")</f>
        <v>martes</v>
      </c>
      <c r="K41" s="6">
        <f>IF(DynamicTable1[[#This Row],[dia]]="Viernes",4,IF(DynamicTable1[[#This Row],[dia]]="Sábado",2,IF(DynamicTable1[[#This Row],[dia]]="Domingo",1,0)))</f>
        <v>0</v>
      </c>
    </row>
    <row r="42" spans="1:11" hidden="1" x14ac:dyDescent="0.25">
      <c r="A42" t="s">
        <v>114</v>
      </c>
      <c r="B42" t="s">
        <v>19</v>
      </c>
      <c r="C42"/>
      <c r="D42" t="s">
        <v>11</v>
      </c>
      <c r="E42" t="s">
        <v>115</v>
      </c>
      <c r="F42" s="8">
        <v>46119</v>
      </c>
      <c r="G42" s="8">
        <v>46121</v>
      </c>
      <c r="H42" s="6">
        <f>DynamicTable1[[#This Row],[Fecha de cierre]]-DynamicTable1[[#This Row],[Fecha de creación]]</f>
        <v>2</v>
      </c>
      <c r="I42" s="4">
        <f>IF(DynamicTable1[[#This Row],[Permite agregar una columna.]]&lt;=6,1,0)</f>
        <v>1</v>
      </c>
      <c r="J42" s="6" t="str">
        <f>TEXT(DynamicTable1[[#This Row],[Fecha de creación]],"DDDD")</f>
        <v>martes</v>
      </c>
      <c r="K42" s="6">
        <f>IF(DynamicTable1[[#This Row],[dia]]="Viernes",4,IF(DynamicTable1[[#This Row],[dia]]="Sábado",2,IF(DynamicTable1[[#This Row],[dia]]="Domingo",1,0)))</f>
        <v>0</v>
      </c>
    </row>
    <row r="43" spans="1:11" x14ac:dyDescent="0.25">
      <c r="A43" t="s">
        <v>116</v>
      </c>
      <c r="B43" t="s">
        <v>13</v>
      </c>
      <c r="C43" t="s">
        <v>24</v>
      </c>
      <c r="D43" t="s">
        <v>11</v>
      </c>
      <c r="E43" t="s">
        <v>117</v>
      </c>
      <c r="F43" s="8">
        <v>46120</v>
      </c>
      <c r="G43" s="8">
        <v>46120</v>
      </c>
      <c r="H43" s="6">
        <f>DynamicTable1[[#This Row],[Fecha de cierre]]-DynamicTable1[[#This Row],[Fecha de creación]]</f>
        <v>0</v>
      </c>
      <c r="I43" s="4">
        <f>IF(DynamicTable1[[#This Row],[Permite agregar una columna.]]&lt;=6,1,0)</f>
        <v>1</v>
      </c>
      <c r="J43" s="6" t="str">
        <f>TEXT(DynamicTable1[[#This Row],[Fecha de creación]],"DDDD")</f>
        <v>miércoles</v>
      </c>
      <c r="K43" s="6">
        <f>IF(DynamicTable1[[#This Row],[dia]]="Viernes",4,IF(DynamicTable1[[#This Row],[dia]]="Sábado",2,IF(DynamicTable1[[#This Row],[dia]]="Domingo",1,0)))</f>
        <v>0</v>
      </c>
    </row>
    <row r="44" spans="1:11" x14ac:dyDescent="0.25">
      <c r="A44" t="s">
        <v>32</v>
      </c>
      <c r="B44" t="s">
        <v>17</v>
      </c>
      <c r="C44" t="s">
        <v>24</v>
      </c>
      <c r="D44" t="s">
        <v>11</v>
      </c>
      <c r="E44" t="s">
        <v>118</v>
      </c>
      <c r="F44" s="8">
        <v>46120</v>
      </c>
      <c r="G44" s="8">
        <v>46120</v>
      </c>
      <c r="H44" s="6">
        <f>DynamicTable1[[#This Row],[Fecha de cierre]]-DynamicTable1[[#This Row],[Fecha de creación]]</f>
        <v>0</v>
      </c>
      <c r="I44" s="4">
        <f>IF(DynamicTable1[[#This Row],[Permite agregar una columna.]]&lt;=6,1,0)</f>
        <v>1</v>
      </c>
      <c r="J44" s="6" t="str">
        <f>TEXT(DynamicTable1[[#This Row],[Fecha de creación]],"DDDD")</f>
        <v>miércoles</v>
      </c>
      <c r="K44" s="6">
        <f>IF(DynamicTable1[[#This Row],[dia]]="Viernes",4,IF(DynamicTable1[[#This Row],[dia]]="Sábado",2,IF(DynamicTable1[[#This Row],[dia]]="Domingo",1,0)))</f>
        <v>0</v>
      </c>
    </row>
    <row r="45" spans="1:11" x14ac:dyDescent="0.25">
      <c r="A45" t="s">
        <v>28</v>
      </c>
      <c r="B45" t="s">
        <v>13</v>
      </c>
      <c r="C45" t="s">
        <v>24</v>
      </c>
      <c r="D45" t="s">
        <v>11</v>
      </c>
      <c r="E45" t="s">
        <v>119</v>
      </c>
      <c r="F45" s="8">
        <v>46120</v>
      </c>
      <c r="G45" s="8">
        <v>46120</v>
      </c>
      <c r="H45" s="6">
        <f>DynamicTable1[[#This Row],[Fecha de cierre]]-DynamicTable1[[#This Row],[Fecha de creación]]</f>
        <v>0</v>
      </c>
      <c r="I45" s="4">
        <f>IF(DynamicTable1[[#This Row],[Permite agregar una columna.]]&lt;=6,1,0)</f>
        <v>1</v>
      </c>
      <c r="J45" s="6" t="str">
        <f>TEXT(DynamicTable1[[#This Row],[Fecha de creación]],"DDDD")</f>
        <v>miércoles</v>
      </c>
      <c r="K45" s="6">
        <f>IF(DynamicTable1[[#This Row],[dia]]="Viernes",4,IF(DynamicTable1[[#This Row],[dia]]="Sábado",2,IF(DynamicTable1[[#This Row],[dia]]="Domingo",1,0)))</f>
        <v>0</v>
      </c>
    </row>
    <row r="46" spans="1:11" x14ac:dyDescent="0.25">
      <c r="A46" t="s">
        <v>120</v>
      </c>
      <c r="B46" t="s">
        <v>13</v>
      </c>
      <c r="C46" t="s">
        <v>31</v>
      </c>
      <c r="D46" t="s">
        <v>11</v>
      </c>
      <c r="E46" t="s">
        <v>121</v>
      </c>
      <c r="F46" s="8">
        <v>46120</v>
      </c>
      <c r="G46" s="8">
        <v>46120</v>
      </c>
      <c r="H46" s="6">
        <f>DynamicTable1[[#This Row],[Fecha de cierre]]-DynamicTable1[[#This Row],[Fecha de creación]]</f>
        <v>0</v>
      </c>
      <c r="I46" s="4">
        <f>IF(DynamicTable1[[#This Row],[Permite agregar una columna.]]&lt;=6,1,0)</f>
        <v>1</v>
      </c>
      <c r="J46" s="6" t="str">
        <f>TEXT(DynamicTable1[[#This Row],[Fecha de creación]],"DDDD")</f>
        <v>miércoles</v>
      </c>
      <c r="K46" s="6">
        <f>IF(DynamicTable1[[#This Row],[dia]]="Viernes",4,IF(DynamicTable1[[#This Row],[dia]]="Sábado",2,IF(DynamicTable1[[#This Row],[dia]]="Domingo",1,0)))</f>
        <v>0</v>
      </c>
    </row>
    <row r="47" spans="1:11" x14ac:dyDescent="0.25">
      <c r="A47" t="s">
        <v>122</v>
      </c>
      <c r="B47" t="s">
        <v>17</v>
      </c>
      <c r="C47" t="s">
        <v>24</v>
      </c>
      <c r="D47" t="s">
        <v>11</v>
      </c>
      <c r="E47" t="s">
        <v>123</v>
      </c>
      <c r="F47" s="8">
        <v>46120</v>
      </c>
      <c r="G47" s="8">
        <v>46120</v>
      </c>
      <c r="H47" s="6">
        <f>DynamicTable1[[#This Row],[Fecha de cierre]]-DynamicTable1[[#This Row],[Fecha de creación]]</f>
        <v>0</v>
      </c>
      <c r="I47" s="4">
        <f>IF(DynamicTable1[[#This Row],[Permite agregar una columna.]]&lt;=6,1,0)</f>
        <v>1</v>
      </c>
      <c r="J47" s="6" t="str">
        <f>TEXT(DynamicTable1[[#This Row],[Fecha de creación]],"DDDD")</f>
        <v>miércoles</v>
      </c>
      <c r="K47" s="6">
        <f>IF(DynamicTable1[[#This Row],[dia]]="Viernes",4,IF(DynamicTable1[[#This Row],[dia]]="Sábado",2,IF(DynamicTable1[[#This Row],[dia]]="Domingo",1,0)))</f>
        <v>0</v>
      </c>
    </row>
    <row r="48" spans="1:11" x14ac:dyDescent="0.25">
      <c r="A48" t="s">
        <v>124</v>
      </c>
      <c r="B48" t="s">
        <v>13</v>
      </c>
      <c r="C48" t="s">
        <v>24</v>
      </c>
      <c r="D48" t="s">
        <v>11</v>
      </c>
      <c r="E48" t="s">
        <v>125</v>
      </c>
      <c r="F48" s="8">
        <v>46120</v>
      </c>
      <c r="G48" s="8">
        <v>46120</v>
      </c>
      <c r="H48" s="6">
        <f>DynamicTable1[[#This Row],[Fecha de cierre]]-DynamicTable1[[#This Row],[Fecha de creación]]</f>
        <v>0</v>
      </c>
      <c r="I48" s="4">
        <f>IF(DynamicTable1[[#This Row],[Permite agregar una columna.]]&lt;=6,1,0)</f>
        <v>1</v>
      </c>
      <c r="J48" s="6" t="str">
        <f>TEXT(DynamicTable1[[#This Row],[Fecha de creación]],"DDDD")</f>
        <v>miércoles</v>
      </c>
      <c r="K48" s="6">
        <f>IF(DynamicTable1[[#This Row],[dia]]="Viernes",4,IF(DynamicTable1[[#This Row],[dia]]="Sábado",2,IF(DynamicTable1[[#This Row],[dia]]="Domingo",1,0)))</f>
        <v>0</v>
      </c>
    </row>
    <row r="49" spans="1:11" hidden="1" x14ac:dyDescent="0.25">
      <c r="A49" t="s">
        <v>126</v>
      </c>
      <c r="B49" t="s">
        <v>23</v>
      </c>
      <c r="C49" t="s">
        <v>127</v>
      </c>
      <c r="D49" t="s">
        <v>21</v>
      </c>
      <c r="E49" t="s">
        <v>128</v>
      </c>
      <c r="F49" s="8">
        <v>46120</v>
      </c>
      <c r="G49" s="8"/>
      <c r="H49" s="6">
        <f>DynamicTable1[[#This Row],[Fecha de cierre]]-DynamicTable1[[#This Row],[Fecha de creación]]</f>
        <v>-46120</v>
      </c>
      <c r="I49" s="4">
        <f>IF(DynamicTable1[[#This Row],[Permite agregar una columna.]]&lt;=6,1,0)</f>
        <v>1</v>
      </c>
      <c r="J49" s="6" t="str">
        <f>TEXT(DynamicTable1[[#This Row],[Fecha de creación]],"DDDD")</f>
        <v>miércoles</v>
      </c>
      <c r="K49" s="6">
        <f>IF(DynamicTable1[[#This Row],[dia]]="Viernes",4,IF(DynamicTable1[[#This Row],[dia]]="Sábado",2,IF(DynamicTable1[[#This Row],[dia]]="Domingo",1,0)))</f>
        <v>0</v>
      </c>
    </row>
    <row r="50" spans="1:11" hidden="1" x14ac:dyDescent="0.25">
      <c r="A50" t="s">
        <v>129</v>
      </c>
      <c r="B50" t="s">
        <v>23</v>
      </c>
      <c r="C50"/>
      <c r="D50" t="s">
        <v>11</v>
      </c>
      <c r="E50" t="s">
        <v>130</v>
      </c>
      <c r="F50" s="8">
        <v>46120</v>
      </c>
      <c r="G50" s="8">
        <v>46121</v>
      </c>
      <c r="H50" s="6">
        <f>DynamicTable1[[#This Row],[Fecha de cierre]]-DynamicTable1[[#This Row],[Fecha de creación]]</f>
        <v>1</v>
      </c>
      <c r="I50" s="4">
        <f>IF(DynamicTable1[[#This Row],[Permite agregar una columna.]]&lt;=6,1,0)</f>
        <v>1</v>
      </c>
      <c r="J50" s="6" t="str">
        <f>TEXT(DynamicTable1[[#This Row],[Fecha de creación]],"DDDD")</f>
        <v>miércoles</v>
      </c>
      <c r="K50" s="6">
        <f>IF(DynamicTable1[[#This Row],[dia]]="Viernes",4,IF(DynamicTable1[[#This Row],[dia]]="Sábado",2,IF(DynamicTable1[[#This Row],[dia]]="Domingo",1,0)))</f>
        <v>0</v>
      </c>
    </row>
    <row r="51" spans="1:11" x14ac:dyDescent="0.25">
      <c r="A51" t="s">
        <v>25</v>
      </c>
      <c r="B51" t="s">
        <v>14</v>
      </c>
      <c r="C51" t="s">
        <v>24</v>
      </c>
      <c r="D51" t="s">
        <v>11</v>
      </c>
      <c r="E51" t="s">
        <v>131</v>
      </c>
      <c r="F51" s="8">
        <v>46120</v>
      </c>
      <c r="G51" s="8">
        <v>46121</v>
      </c>
      <c r="H51" s="6">
        <f>DynamicTable1[[#This Row],[Fecha de cierre]]-DynamicTable1[[#This Row],[Fecha de creación]]</f>
        <v>1</v>
      </c>
      <c r="I51" s="4">
        <f>IF(DynamicTable1[[#This Row],[Permite agregar una columna.]]&lt;=6,1,0)</f>
        <v>1</v>
      </c>
      <c r="J51" s="6" t="str">
        <f>TEXT(DynamicTable1[[#This Row],[Fecha de creación]],"DDDD")</f>
        <v>miércoles</v>
      </c>
      <c r="K51" s="6">
        <f>IF(DynamicTable1[[#This Row],[dia]]="Viernes",4,IF(DynamicTable1[[#This Row],[dia]]="Sábado",2,IF(DynamicTable1[[#This Row],[dia]]="Domingo",1,0)))</f>
        <v>0</v>
      </c>
    </row>
    <row r="52" spans="1:11" x14ac:dyDescent="0.25">
      <c r="A52" t="s">
        <v>132</v>
      </c>
      <c r="B52" t="s">
        <v>13</v>
      </c>
      <c r="C52" t="s">
        <v>24</v>
      </c>
      <c r="D52" t="s">
        <v>11</v>
      </c>
      <c r="E52" t="s">
        <v>133</v>
      </c>
      <c r="F52" s="8">
        <v>46121</v>
      </c>
      <c r="G52" s="8">
        <v>46134</v>
      </c>
      <c r="H52" s="6">
        <f>DynamicTable1[[#This Row],[Fecha de cierre]]-DynamicTable1[[#This Row],[Fecha de creación]]</f>
        <v>13</v>
      </c>
      <c r="I52" s="4">
        <f>IF(DynamicTable1[[#This Row],[Permite agregar una columna.]]&lt;=6,1,0)</f>
        <v>0</v>
      </c>
      <c r="J52" s="6" t="str">
        <f>TEXT(DynamicTable1[[#This Row],[Fecha de creación]],"DDDD")</f>
        <v>jueves</v>
      </c>
      <c r="K52" s="6">
        <f>IF(DynamicTable1[[#This Row],[dia]]="Viernes",4,IF(DynamicTable1[[#This Row],[dia]]="Sábado",2,IF(DynamicTable1[[#This Row],[dia]]="Domingo",1,0)))</f>
        <v>0</v>
      </c>
    </row>
    <row r="53" spans="1:11" x14ac:dyDescent="0.25">
      <c r="A53" t="s">
        <v>134</v>
      </c>
      <c r="B53" t="s">
        <v>13</v>
      </c>
      <c r="C53" t="s">
        <v>24</v>
      </c>
      <c r="D53" t="s">
        <v>11</v>
      </c>
      <c r="E53" t="s">
        <v>135</v>
      </c>
      <c r="F53" s="8">
        <v>46121</v>
      </c>
      <c r="G53" s="8">
        <v>46121</v>
      </c>
      <c r="H53" s="6">
        <f>DynamicTable1[[#This Row],[Fecha de cierre]]-DynamicTable1[[#This Row],[Fecha de creación]]</f>
        <v>0</v>
      </c>
      <c r="I53" s="4">
        <f>IF(DynamicTable1[[#This Row],[Permite agregar una columna.]]&lt;=6,1,0)</f>
        <v>1</v>
      </c>
      <c r="J53" s="6" t="str">
        <f>TEXT(DynamicTable1[[#This Row],[Fecha de creación]],"DDDD")</f>
        <v>jueves</v>
      </c>
      <c r="K53" s="6">
        <f>IF(DynamicTable1[[#This Row],[dia]]="Viernes",4,IF(DynamicTable1[[#This Row],[dia]]="Sábado",2,IF(DynamicTable1[[#This Row],[dia]]="Domingo",1,0)))</f>
        <v>0</v>
      </c>
    </row>
    <row r="54" spans="1:11" hidden="1" x14ac:dyDescent="0.25">
      <c r="A54" t="s">
        <v>136</v>
      </c>
      <c r="B54" t="s">
        <v>19</v>
      </c>
      <c r="C54" t="s">
        <v>12</v>
      </c>
      <c r="D54" t="s">
        <v>11</v>
      </c>
      <c r="E54" t="s">
        <v>137</v>
      </c>
      <c r="F54" s="8">
        <v>46121</v>
      </c>
      <c r="G54" s="8">
        <v>46126</v>
      </c>
      <c r="H54" s="6">
        <f>DynamicTable1[[#This Row],[Fecha de cierre]]-DynamicTable1[[#This Row],[Fecha de creación]]</f>
        <v>5</v>
      </c>
      <c r="I54" s="4">
        <f>IF(DynamicTable1[[#This Row],[Permite agregar una columna.]]&lt;=6,1,0)</f>
        <v>1</v>
      </c>
      <c r="J54" s="6" t="str">
        <f>TEXT(DynamicTable1[[#This Row],[Fecha de creación]],"DDDD")</f>
        <v>jueves</v>
      </c>
      <c r="K54" s="6">
        <f>IF(DynamicTable1[[#This Row],[dia]]="Viernes",4,IF(DynamicTable1[[#This Row],[dia]]="Sábado",2,IF(DynamicTable1[[#This Row],[dia]]="Domingo",1,0)))</f>
        <v>0</v>
      </c>
    </row>
    <row r="55" spans="1:11" x14ac:dyDescent="0.25">
      <c r="A55" t="s">
        <v>138</v>
      </c>
      <c r="B55" t="s">
        <v>13</v>
      </c>
      <c r="C55" t="s">
        <v>24</v>
      </c>
      <c r="D55" t="s">
        <v>11</v>
      </c>
      <c r="E55" t="s">
        <v>139</v>
      </c>
      <c r="F55" s="8">
        <v>46121</v>
      </c>
      <c r="G55" s="8">
        <v>46121</v>
      </c>
      <c r="H55" s="6">
        <f>DynamicTable1[[#This Row],[Fecha de cierre]]-DynamicTable1[[#This Row],[Fecha de creación]]</f>
        <v>0</v>
      </c>
      <c r="I55" s="4">
        <f>IF(DynamicTable1[[#This Row],[Permite agregar una columna.]]&lt;=6,1,0)</f>
        <v>1</v>
      </c>
      <c r="J55" s="6" t="str">
        <f>TEXT(DynamicTable1[[#This Row],[Fecha de creación]],"DDDD")</f>
        <v>jueves</v>
      </c>
      <c r="K55" s="6">
        <f>IF(DynamicTable1[[#This Row],[dia]]="Viernes",4,IF(DynamicTable1[[#This Row],[dia]]="Sábado",2,IF(DynamicTable1[[#This Row],[dia]]="Domingo",1,0)))</f>
        <v>0</v>
      </c>
    </row>
    <row r="56" spans="1:11" hidden="1" x14ac:dyDescent="0.25">
      <c r="A56" t="s">
        <v>140</v>
      </c>
      <c r="B56" t="s">
        <v>18</v>
      </c>
      <c r="C56" t="s">
        <v>12</v>
      </c>
      <c r="D56" t="s">
        <v>11</v>
      </c>
      <c r="E56" t="s">
        <v>141</v>
      </c>
      <c r="F56" s="8">
        <v>46121</v>
      </c>
      <c r="G56" s="8">
        <v>46135</v>
      </c>
      <c r="H56" s="6">
        <f>DynamicTable1[[#This Row],[Fecha de cierre]]-DynamicTable1[[#This Row],[Fecha de creación]]</f>
        <v>14</v>
      </c>
      <c r="I56" s="4">
        <f>IF(DynamicTable1[[#This Row],[Permite agregar una columna.]]&lt;=6,1,0)</f>
        <v>0</v>
      </c>
      <c r="J56" s="6" t="str">
        <f>TEXT(DynamicTable1[[#This Row],[Fecha de creación]],"DDDD")</f>
        <v>jueves</v>
      </c>
      <c r="K56" s="6">
        <f>IF(DynamicTable1[[#This Row],[dia]]="Viernes",4,IF(DynamicTable1[[#This Row],[dia]]="Sábado",2,IF(DynamicTable1[[#This Row],[dia]]="Domingo",1,0)))</f>
        <v>0</v>
      </c>
    </row>
    <row r="57" spans="1:11" x14ac:dyDescent="0.25">
      <c r="A57" t="s">
        <v>142</v>
      </c>
      <c r="B57" t="s">
        <v>17</v>
      </c>
      <c r="C57" t="s">
        <v>24</v>
      </c>
      <c r="D57" t="s">
        <v>11</v>
      </c>
      <c r="E57" t="s">
        <v>143</v>
      </c>
      <c r="F57" s="8">
        <v>46121</v>
      </c>
      <c r="G57" s="8">
        <v>46121</v>
      </c>
      <c r="H57" s="6">
        <f>DynamicTable1[[#This Row],[Fecha de cierre]]-DynamicTable1[[#This Row],[Fecha de creación]]</f>
        <v>0</v>
      </c>
      <c r="I57" s="4">
        <f>IF(DynamicTable1[[#This Row],[Permite agregar una columna.]]&lt;=6,1,0)</f>
        <v>1</v>
      </c>
      <c r="J57" s="6" t="str">
        <f>TEXT(DynamicTable1[[#This Row],[Fecha de creación]],"DDDD")</f>
        <v>jueves</v>
      </c>
      <c r="K57" s="6">
        <f>IF(DynamicTable1[[#This Row],[dia]]="Viernes",4,IF(DynamicTable1[[#This Row],[dia]]="Sábado",2,IF(DynamicTable1[[#This Row],[dia]]="Domingo",1,0)))</f>
        <v>0</v>
      </c>
    </row>
    <row r="58" spans="1:11" hidden="1" x14ac:dyDescent="0.25">
      <c r="A58" t="s">
        <v>144</v>
      </c>
      <c r="B58" t="s">
        <v>23</v>
      </c>
      <c r="C58"/>
      <c r="D58" t="s">
        <v>11</v>
      </c>
      <c r="E58" t="s">
        <v>145</v>
      </c>
      <c r="F58" s="8">
        <v>46121</v>
      </c>
      <c r="G58" s="8">
        <v>46121</v>
      </c>
      <c r="H58" s="6">
        <f>DynamicTable1[[#This Row],[Fecha de cierre]]-DynamicTable1[[#This Row],[Fecha de creación]]</f>
        <v>0</v>
      </c>
      <c r="I58" s="4">
        <f>IF(DynamicTable1[[#This Row],[Permite agregar una columna.]]&lt;=6,1,0)</f>
        <v>1</v>
      </c>
      <c r="J58" s="6" t="str">
        <f>TEXT(DynamicTable1[[#This Row],[Fecha de creación]],"DDDD")</f>
        <v>jueves</v>
      </c>
      <c r="K58" s="6">
        <f>IF(DynamicTable1[[#This Row],[dia]]="Viernes",4,IF(DynamicTable1[[#This Row],[dia]]="Sábado",2,IF(DynamicTable1[[#This Row],[dia]]="Domingo",1,0)))</f>
        <v>0</v>
      </c>
    </row>
    <row r="59" spans="1:11" hidden="1" x14ac:dyDescent="0.25">
      <c r="A59" t="s">
        <v>146</v>
      </c>
      <c r="B59" t="s">
        <v>13</v>
      </c>
      <c r="C59"/>
      <c r="D59" t="s">
        <v>11</v>
      </c>
      <c r="E59" t="s">
        <v>147</v>
      </c>
      <c r="F59" s="8">
        <v>46121</v>
      </c>
      <c r="G59" s="8">
        <v>46121</v>
      </c>
      <c r="H59" s="6">
        <f>DynamicTable1[[#This Row],[Fecha de cierre]]-DynamicTable1[[#This Row],[Fecha de creación]]</f>
        <v>0</v>
      </c>
      <c r="I59" s="4">
        <f>IF(DynamicTable1[[#This Row],[Permite agregar una columna.]]&lt;=6,1,0)</f>
        <v>1</v>
      </c>
      <c r="J59" s="6" t="str">
        <f>TEXT(DynamicTable1[[#This Row],[Fecha de creación]],"DDDD")</f>
        <v>jueves</v>
      </c>
      <c r="K59" s="6">
        <f>IF(DynamicTable1[[#This Row],[dia]]="Viernes",4,IF(DynamicTable1[[#This Row],[dia]]="Sábado",2,IF(DynamicTable1[[#This Row],[dia]]="Domingo",1,0)))</f>
        <v>0</v>
      </c>
    </row>
    <row r="60" spans="1:11" hidden="1" x14ac:dyDescent="0.25">
      <c r="A60" t="s">
        <v>148</v>
      </c>
      <c r="B60" t="s">
        <v>18</v>
      </c>
      <c r="C60" t="s">
        <v>12</v>
      </c>
      <c r="D60" t="s">
        <v>11</v>
      </c>
      <c r="E60" t="s">
        <v>149</v>
      </c>
      <c r="F60" s="8">
        <v>46121</v>
      </c>
      <c r="G60" s="8">
        <v>46135</v>
      </c>
      <c r="H60" s="6">
        <f>DynamicTable1[[#This Row],[Fecha de cierre]]-DynamicTable1[[#This Row],[Fecha de creación]]</f>
        <v>14</v>
      </c>
      <c r="I60" s="4">
        <f>IF(DynamicTable1[[#This Row],[Permite agregar una columna.]]&lt;=6,1,0)</f>
        <v>0</v>
      </c>
      <c r="J60" s="6" t="str">
        <f>TEXT(DynamicTable1[[#This Row],[Fecha de creación]],"DDDD")</f>
        <v>jueves</v>
      </c>
      <c r="K60" s="6">
        <f>IF(DynamicTable1[[#This Row],[dia]]="Viernes",4,IF(DynamicTable1[[#This Row],[dia]]="Sábado",2,IF(DynamicTable1[[#This Row],[dia]]="Domingo",1,0)))</f>
        <v>0</v>
      </c>
    </row>
    <row r="61" spans="1:11" hidden="1" x14ac:dyDescent="0.25">
      <c r="A61" t="s">
        <v>150</v>
      </c>
      <c r="B61" t="s">
        <v>18</v>
      </c>
      <c r="C61" t="s">
        <v>20</v>
      </c>
      <c r="D61" t="s">
        <v>151</v>
      </c>
      <c r="E61" t="s">
        <v>152</v>
      </c>
      <c r="F61" s="8">
        <v>46121</v>
      </c>
      <c r="G61" s="8"/>
      <c r="H61" s="6">
        <f>DynamicTable1[[#This Row],[Fecha de cierre]]-DynamicTable1[[#This Row],[Fecha de creación]]</f>
        <v>-46121</v>
      </c>
      <c r="I61" s="4">
        <f>IF(DynamicTable1[[#This Row],[Permite agregar una columna.]]&lt;=6,1,0)</f>
        <v>1</v>
      </c>
      <c r="J61" s="6" t="str">
        <f>TEXT(DynamicTable1[[#This Row],[Fecha de creación]],"DDDD")</f>
        <v>jueves</v>
      </c>
      <c r="K61" s="6">
        <f>IF(DynamicTable1[[#This Row],[dia]]="Viernes",4,IF(DynamicTable1[[#This Row],[dia]]="Sábado",2,IF(DynamicTable1[[#This Row],[dia]]="Domingo",1,0)))</f>
        <v>0</v>
      </c>
    </row>
    <row r="62" spans="1:11" hidden="1" x14ac:dyDescent="0.25">
      <c r="A62" t="s">
        <v>153</v>
      </c>
      <c r="B62" t="s">
        <v>18</v>
      </c>
      <c r="C62" t="s">
        <v>12</v>
      </c>
      <c r="D62" t="s">
        <v>11</v>
      </c>
      <c r="E62" t="s">
        <v>154</v>
      </c>
      <c r="F62" s="8">
        <v>46121</v>
      </c>
      <c r="G62" s="8">
        <v>46134</v>
      </c>
      <c r="H62" s="6">
        <f>DynamicTable1[[#This Row],[Fecha de cierre]]-DynamicTable1[[#This Row],[Fecha de creación]]</f>
        <v>13</v>
      </c>
      <c r="I62" s="4">
        <f>IF(DynamicTable1[[#This Row],[Permite agregar una columna.]]&lt;=6,1,0)</f>
        <v>0</v>
      </c>
      <c r="J62" s="6" t="str">
        <f>TEXT(DynamicTable1[[#This Row],[Fecha de creación]],"DDDD")</f>
        <v>jueves</v>
      </c>
      <c r="K62" s="6">
        <f>IF(DynamicTable1[[#This Row],[dia]]="Viernes",4,IF(DynamicTable1[[#This Row],[dia]]="Sábado",2,IF(DynamicTable1[[#This Row],[dia]]="Domingo",1,0)))</f>
        <v>0</v>
      </c>
    </row>
    <row r="63" spans="1:11" x14ac:dyDescent="0.25">
      <c r="A63" t="s">
        <v>155</v>
      </c>
      <c r="B63" t="s">
        <v>17</v>
      </c>
      <c r="C63" t="s">
        <v>24</v>
      </c>
      <c r="D63" t="s">
        <v>11</v>
      </c>
      <c r="E63" t="s">
        <v>156</v>
      </c>
      <c r="F63" s="8">
        <v>46121</v>
      </c>
      <c r="G63" s="8">
        <v>46126</v>
      </c>
      <c r="H63" s="6">
        <f>DynamicTable1[[#This Row],[Fecha de cierre]]-DynamicTable1[[#This Row],[Fecha de creación]]</f>
        <v>5</v>
      </c>
      <c r="I63" s="4">
        <f>IF(DynamicTable1[[#This Row],[Permite agregar una columna.]]&lt;=6,1,0)</f>
        <v>1</v>
      </c>
      <c r="J63" s="6" t="str">
        <f>TEXT(DynamicTable1[[#This Row],[Fecha de creación]],"DDDD")</f>
        <v>jueves</v>
      </c>
      <c r="K63" s="6">
        <f>IF(DynamicTable1[[#This Row],[dia]]="Viernes",4,IF(DynamicTable1[[#This Row],[dia]]="Sábado",2,IF(DynamicTable1[[#This Row],[dia]]="Domingo",1,0)))</f>
        <v>0</v>
      </c>
    </row>
    <row r="64" spans="1:11" hidden="1" x14ac:dyDescent="0.25">
      <c r="A64" t="s">
        <v>157</v>
      </c>
      <c r="B64" t="s">
        <v>13</v>
      </c>
      <c r="C64"/>
      <c r="D64" t="s">
        <v>11</v>
      </c>
      <c r="E64" t="s">
        <v>158</v>
      </c>
      <c r="F64" s="8">
        <v>46121</v>
      </c>
      <c r="G64" s="8">
        <v>46122</v>
      </c>
      <c r="H64" s="6">
        <f>DynamicTable1[[#This Row],[Fecha de cierre]]-DynamicTable1[[#This Row],[Fecha de creación]]</f>
        <v>1</v>
      </c>
      <c r="I64" s="4">
        <f>IF(DynamicTable1[[#This Row],[Permite agregar una columna.]]&lt;=6,1,0)</f>
        <v>1</v>
      </c>
      <c r="J64" s="6" t="str">
        <f>TEXT(DynamicTable1[[#This Row],[Fecha de creación]],"DDDD")</f>
        <v>jueves</v>
      </c>
      <c r="K64" s="6">
        <f>IF(DynamicTable1[[#This Row],[dia]]="Viernes",4,IF(DynamicTable1[[#This Row],[dia]]="Sábado",2,IF(DynamicTable1[[#This Row],[dia]]="Domingo",1,0)))</f>
        <v>0</v>
      </c>
    </row>
    <row r="65" spans="1:11" hidden="1" x14ac:dyDescent="0.25">
      <c r="A65" t="s">
        <v>159</v>
      </c>
      <c r="B65" t="s">
        <v>13</v>
      </c>
      <c r="C65"/>
      <c r="D65" t="s">
        <v>11</v>
      </c>
      <c r="E65" t="s">
        <v>160</v>
      </c>
      <c r="F65" s="8">
        <v>46121</v>
      </c>
      <c r="G65" s="8">
        <v>46122</v>
      </c>
      <c r="H65" s="6">
        <f>DynamicTable1[[#This Row],[Fecha de cierre]]-DynamicTable1[[#This Row],[Fecha de creación]]</f>
        <v>1</v>
      </c>
      <c r="I65" s="4">
        <f>IF(DynamicTable1[[#This Row],[Permite agregar una columna.]]&lt;=6,1,0)</f>
        <v>1</v>
      </c>
      <c r="J65" s="6" t="str">
        <f>TEXT(DynamicTable1[[#This Row],[Fecha de creación]],"DDDD")</f>
        <v>jueves</v>
      </c>
      <c r="K65" s="6">
        <f>IF(DynamicTable1[[#This Row],[dia]]="Viernes",4,IF(DynamicTable1[[#This Row],[dia]]="Sábado",2,IF(DynamicTable1[[#This Row],[dia]]="Domingo",1,0)))</f>
        <v>0</v>
      </c>
    </row>
    <row r="66" spans="1:11" hidden="1" x14ac:dyDescent="0.25">
      <c r="A66" t="s">
        <v>161</v>
      </c>
      <c r="B66" t="s">
        <v>14</v>
      </c>
      <c r="C66" t="s">
        <v>12</v>
      </c>
      <c r="D66" t="s">
        <v>11</v>
      </c>
      <c r="E66" t="s">
        <v>162</v>
      </c>
      <c r="F66" s="8">
        <v>46121</v>
      </c>
      <c r="G66" s="8">
        <v>46126</v>
      </c>
      <c r="H66" s="6">
        <f>DynamicTable1[[#This Row],[Fecha de cierre]]-DynamicTable1[[#This Row],[Fecha de creación]]</f>
        <v>5</v>
      </c>
      <c r="I66" s="4">
        <f>IF(DynamicTable1[[#This Row],[Permite agregar una columna.]]&lt;=6,1,0)</f>
        <v>1</v>
      </c>
      <c r="J66" s="6" t="str">
        <f>TEXT(DynamicTable1[[#This Row],[Fecha de creación]],"DDDD")</f>
        <v>jueves</v>
      </c>
      <c r="K66" s="6">
        <f>IF(DynamicTable1[[#This Row],[dia]]="Viernes",4,IF(DynamicTable1[[#This Row],[dia]]="Sábado",2,IF(DynamicTable1[[#This Row],[dia]]="Domingo",1,0)))</f>
        <v>0</v>
      </c>
    </row>
    <row r="67" spans="1:11" hidden="1" x14ac:dyDescent="0.25">
      <c r="A67" t="s">
        <v>163</v>
      </c>
      <c r="B67" t="s">
        <v>13</v>
      </c>
      <c r="C67"/>
      <c r="D67" t="s">
        <v>11</v>
      </c>
      <c r="E67" t="s">
        <v>164</v>
      </c>
      <c r="F67" s="8">
        <v>46121</v>
      </c>
      <c r="G67" s="8">
        <v>46122</v>
      </c>
      <c r="H67" s="6">
        <f>DynamicTable1[[#This Row],[Fecha de cierre]]-DynamicTable1[[#This Row],[Fecha de creación]]</f>
        <v>1</v>
      </c>
      <c r="I67" s="4">
        <f>IF(DynamicTable1[[#This Row],[Permite agregar una columna.]]&lt;=6,1,0)</f>
        <v>1</v>
      </c>
      <c r="J67" s="6" t="str">
        <f>TEXT(DynamicTable1[[#This Row],[Fecha de creación]],"DDDD")</f>
        <v>jueves</v>
      </c>
      <c r="K67" s="6">
        <f>IF(DynamicTable1[[#This Row],[dia]]="Viernes",4,IF(DynamicTable1[[#This Row],[dia]]="Sábado",2,IF(DynamicTable1[[#This Row],[dia]]="Domingo",1,0)))</f>
        <v>0</v>
      </c>
    </row>
    <row r="68" spans="1:11" hidden="1" x14ac:dyDescent="0.25">
      <c r="A68" t="s">
        <v>165</v>
      </c>
      <c r="B68" t="s">
        <v>15</v>
      </c>
      <c r="C68" t="s">
        <v>20</v>
      </c>
      <c r="D68" t="s">
        <v>11</v>
      </c>
      <c r="E68" t="s">
        <v>166</v>
      </c>
      <c r="F68" s="8">
        <v>46122</v>
      </c>
      <c r="G68" s="8">
        <v>46136</v>
      </c>
      <c r="H68" s="6">
        <f>DynamicTable1[[#This Row],[Fecha de cierre]]-DynamicTable1[[#This Row],[Fecha de creación]]</f>
        <v>14</v>
      </c>
      <c r="I68" s="4">
        <f>IF(DynamicTable1[[#This Row],[Permite agregar una columna.]]&lt;=6,1,0)</f>
        <v>0</v>
      </c>
      <c r="J68" s="6" t="str">
        <f>TEXT(DynamicTable1[[#This Row],[Fecha de creación]],"DDDD")</f>
        <v>viernes</v>
      </c>
      <c r="K68" s="6">
        <f>IF(DynamicTable1[[#This Row],[dia]]="Viernes",4,IF(DynamicTable1[[#This Row],[dia]]="Sábado",2,IF(DynamicTable1[[#This Row],[dia]]="Domingo",1,0)))</f>
        <v>4</v>
      </c>
    </row>
    <row r="69" spans="1:11" hidden="1" x14ac:dyDescent="0.25">
      <c r="A69" t="s">
        <v>167</v>
      </c>
      <c r="B69" t="s">
        <v>13</v>
      </c>
      <c r="C69" t="s">
        <v>20</v>
      </c>
      <c r="D69" t="s">
        <v>21</v>
      </c>
      <c r="E69" t="s">
        <v>168</v>
      </c>
      <c r="F69" s="8">
        <v>46122</v>
      </c>
      <c r="G69" s="8"/>
      <c r="H69" s="6">
        <f>DynamicTable1[[#This Row],[Fecha de cierre]]-DynamicTable1[[#This Row],[Fecha de creación]]</f>
        <v>-46122</v>
      </c>
      <c r="I69" s="4">
        <f>IF(DynamicTable1[[#This Row],[Permite agregar una columna.]]&lt;=6,1,0)</f>
        <v>1</v>
      </c>
      <c r="J69" s="6" t="str">
        <f>TEXT(DynamicTable1[[#This Row],[Fecha de creación]],"DDDD")</f>
        <v>viernes</v>
      </c>
      <c r="K69" s="6">
        <f>IF(DynamicTable1[[#This Row],[dia]]="Viernes",4,IF(DynamicTable1[[#This Row],[dia]]="Sábado",2,IF(DynamicTable1[[#This Row],[dia]]="Domingo",1,0)))</f>
        <v>4</v>
      </c>
    </row>
    <row r="70" spans="1:11" hidden="1" x14ac:dyDescent="0.25">
      <c r="A70" t="s">
        <v>169</v>
      </c>
      <c r="B70" t="s">
        <v>18</v>
      </c>
      <c r="C70" t="s">
        <v>12</v>
      </c>
      <c r="D70" t="s">
        <v>11</v>
      </c>
      <c r="E70" t="s">
        <v>170</v>
      </c>
      <c r="F70" s="8">
        <v>46122</v>
      </c>
      <c r="G70" s="8">
        <v>46134</v>
      </c>
      <c r="H70" s="6">
        <f>DynamicTable1[[#This Row],[Fecha de cierre]]-DynamicTable1[[#This Row],[Fecha de creación]]</f>
        <v>12</v>
      </c>
      <c r="I70" s="4">
        <f>IF(DynamicTable1[[#This Row],[Permite agregar una columna.]]&lt;=6,1,0)</f>
        <v>0</v>
      </c>
      <c r="J70" s="6" t="str">
        <f>TEXT(DynamicTable1[[#This Row],[Fecha de creación]],"DDDD")</f>
        <v>viernes</v>
      </c>
      <c r="K70" s="6">
        <f>IF(DynamicTable1[[#This Row],[dia]]="Viernes",4,IF(DynamicTable1[[#This Row],[dia]]="Sábado",2,IF(DynamicTable1[[#This Row],[dia]]="Domingo",1,0)))</f>
        <v>4</v>
      </c>
    </row>
    <row r="71" spans="1:11" hidden="1" x14ac:dyDescent="0.25">
      <c r="A71" t="s">
        <v>171</v>
      </c>
      <c r="B71" t="s">
        <v>18</v>
      </c>
      <c r="C71" t="s">
        <v>12</v>
      </c>
      <c r="D71" t="s">
        <v>11</v>
      </c>
      <c r="E71" t="s">
        <v>172</v>
      </c>
      <c r="F71" s="8">
        <v>46122</v>
      </c>
      <c r="G71" s="8">
        <v>46134</v>
      </c>
      <c r="H71" s="6">
        <f>DynamicTable1[[#This Row],[Fecha de cierre]]-DynamicTable1[[#This Row],[Fecha de creación]]</f>
        <v>12</v>
      </c>
      <c r="I71" s="4">
        <f>IF(DynamicTable1[[#This Row],[Permite agregar una columna.]]&lt;=6,1,0)</f>
        <v>0</v>
      </c>
      <c r="J71" s="6" t="str">
        <f>TEXT(DynamicTable1[[#This Row],[Fecha de creación]],"DDDD")</f>
        <v>viernes</v>
      </c>
      <c r="K71" s="6">
        <f>IF(DynamicTable1[[#This Row],[dia]]="Viernes",4,IF(DynamicTable1[[#This Row],[dia]]="Sábado",2,IF(DynamicTable1[[#This Row],[dia]]="Domingo",1,0)))</f>
        <v>4</v>
      </c>
    </row>
    <row r="72" spans="1:11" hidden="1" x14ac:dyDescent="0.25">
      <c r="A72" t="s">
        <v>173</v>
      </c>
      <c r="B72" t="s">
        <v>19</v>
      </c>
      <c r="C72"/>
      <c r="D72" t="s">
        <v>11</v>
      </c>
      <c r="E72" t="s">
        <v>174</v>
      </c>
      <c r="F72" s="8">
        <v>46122</v>
      </c>
      <c r="G72" s="8">
        <v>46122</v>
      </c>
      <c r="H72" s="6">
        <f>DynamicTable1[[#This Row],[Fecha de cierre]]-DynamicTable1[[#This Row],[Fecha de creación]]</f>
        <v>0</v>
      </c>
      <c r="I72" s="4">
        <f>IF(DynamicTable1[[#This Row],[Permite agregar una columna.]]&lt;=6,1,0)</f>
        <v>1</v>
      </c>
      <c r="J72" s="6" t="str">
        <f>TEXT(DynamicTable1[[#This Row],[Fecha de creación]],"DDDD")</f>
        <v>viernes</v>
      </c>
      <c r="K72" s="6">
        <f>IF(DynamicTable1[[#This Row],[dia]]="Viernes",4,IF(DynamicTable1[[#This Row],[dia]]="Sábado",2,IF(DynamicTable1[[#This Row],[dia]]="Domingo",1,0)))</f>
        <v>4</v>
      </c>
    </row>
    <row r="73" spans="1:11" x14ac:dyDescent="0.25">
      <c r="A73" t="s">
        <v>175</v>
      </c>
      <c r="B73" t="s">
        <v>17</v>
      </c>
      <c r="C73" t="s">
        <v>24</v>
      </c>
      <c r="D73" t="s">
        <v>11</v>
      </c>
      <c r="E73" t="s">
        <v>176</v>
      </c>
      <c r="F73" s="8">
        <v>46122</v>
      </c>
      <c r="G73" s="8">
        <v>46122</v>
      </c>
      <c r="H73" s="6">
        <f>DynamicTable1[[#This Row],[Fecha de cierre]]-DynamicTable1[[#This Row],[Fecha de creación]]</f>
        <v>0</v>
      </c>
      <c r="I73" s="4">
        <f>IF(DynamicTable1[[#This Row],[Permite agregar una columna.]]&lt;=6,1,0)</f>
        <v>1</v>
      </c>
      <c r="J73" s="6" t="str">
        <f>TEXT(DynamicTable1[[#This Row],[Fecha de creación]],"DDDD")</f>
        <v>viernes</v>
      </c>
      <c r="K73" s="6">
        <f>IF(DynamicTable1[[#This Row],[dia]]="Viernes",4,IF(DynamicTable1[[#This Row],[dia]]="Sábado",2,IF(DynamicTable1[[#This Row],[dia]]="Domingo",1,0)))</f>
        <v>4</v>
      </c>
    </row>
    <row r="74" spans="1:11" x14ac:dyDescent="0.25">
      <c r="A74" t="s">
        <v>177</v>
      </c>
      <c r="B74" t="s">
        <v>17</v>
      </c>
      <c r="C74" t="s">
        <v>24</v>
      </c>
      <c r="D74" t="s">
        <v>11</v>
      </c>
      <c r="E74" t="s">
        <v>178</v>
      </c>
      <c r="F74" s="8">
        <v>46122</v>
      </c>
      <c r="G74" s="8">
        <v>46126</v>
      </c>
      <c r="H74" s="6">
        <f>DynamicTable1[[#This Row],[Fecha de cierre]]-DynamicTable1[[#This Row],[Fecha de creación]]</f>
        <v>4</v>
      </c>
      <c r="I74" s="4">
        <f>IF(DynamicTable1[[#This Row],[Permite agregar una columna.]]&lt;=6,1,0)</f>
        <v>1</v>
      </c>
      <c r="J74" s="6" t="str">
        <f>TEXT(DynamicTable1[[#This Row],[Fecha de creación]],"DDDD")</f>
        <v>viernes</v>
      </c>
      <c r="K74" s="6">
        <f>IF(DynamicTable1[[#This Row],[dia]]="Viernes",4,IF(DynamicTable1[[#This Row],[dia]]="Sábado",2,IF(DynamicTable1[[#This Row],[dia]]="Domingo",1,0)))</f>
        <v>4</v>
      </c>
    </row>
    <row r="75" spans="1:11" hidden="1" x14ac:dyDescent="0.25">
      <c r="A75" t="s">
        <v>179</v>
      </c>
      <c r="B75" t="s">
        <v>23</v>
      </c>
      <c r="C75"/>
      <c r="D75" t="s">
        <v>11</v>
      </c>
      <c r="E75" t="s">
        <v>180</v>
      </c>
      <c r="F75" s="8">
        <v>46123</v>
      </c>
      <c r="G75" s="8">
        <v>46128</v>
      </c>
      <c r="H75" s="6">
        <f>DynamicTable1[[#This Row],[Fecha de cierre]]-DynamicTable1[[#This Row],[Fecha de creación]]</f>
        <v>5</v>
      </c>
      <c r="I75" s="4">
        <f>IF(DynamicTable1[[#This Row],[Permite agregar una columna.]]&lt;=6,1,0)</f>
        <v>1</v>
      </c>
      <c r="J75" s="6" t="str">
        <f>TEXT(DynamicTable1[[#This Row],[Fecha de creación]],"DDDD")</f>
        <v>sábado</v>
      </c>
      <c r="K75" s="6">
        <f>IF(DynamicTable1[[#This Row],[dia]]="Viernes",4,IF(DynamicTable1[[#This Row],[dia]]="Sábado",2,IF(DynamicTable1[[#This Row],[dia]]="Domingo",1,0)))</f>
        <v>2</v>
      </c>
    </row>
    <row r="76" spans="1:11" hidden="1" x14ac:dyDescent="0.25">
      <c r="A76" t="s">
        <v>181</v>
      </c>
      <c r="B76" t="s">
        <v>18</v>
      </c>
      <c r="C76" t="s">
        <v>12</v>
      </c>
      <c r="D76" t="s">
        <v>11</v>
      </c>
      <c r="E76" t="s">
        <v>182</v>
      </c>
      <c r="F76" s="8">
        <v>46125</v>
      </c>
      <c r="G76" s="8">
        <v>46134</v>
      </c>
      <c r="H76" s="6">
        <f>DynamicTable1[[#This Row],[Fecha de cierre]]-DynamicTable1[[#This Row],[Fecha de creación]]</f>
        <v>9</v>
      </c>
      <c r="I76" s="4">
        <f>IF(DynamicTable1[[#This Row],[Permite agregar una columna.]]&lt;=6,1,0)</f>
        <v>0</v>
      </c>
      <c r="J76" s="6" t="str">
        <f>TEXT(DynamicTable1[[#This Row],[Fecha de creación]],"DDDD")</f>
        <v>lunes</v>
      </c>
      <c r="K76" s="6">
        <f>IF(DynamicTable1[[#This Row],[dia]]="Viernes",4,IF(DynamicTable1[[#This Row],[dia]]="Sábado",2,IF(DynamicTable1[[#This Row],[dia]]="Domingo",1,0)))</f>
        <v>0</v>
      </c>
    </row>
    <row r="77" spans="1:11" hidden="1" x14ac:dyDescent="0.25">
      <c r="A77" t="s">
        <v>183</v>
      </c>
      <c r="B77" t="s">
        <v>13</v>
      </c>
      <c r="C77"/>
      <c r="D77" t="s">
        <v>11</v>
      </c>
      <c r="E77" t="s">
        <v>184</v>
      </c>
      <c r="F77" s="8">
        <v>46125</v>
      </c>
      <c r="G77" s="8">
        <v>46127</v>
      </c>
      <c r="H77" s="6">
        <f>DynamicTable1[[#This Row],[Fecha de cierre]]-DynamicTable1[[#This Row],[Fecha de creación]]</f>
        <v>2</v>
      </c>
      <c r="I77" s="4">
        <f>IF(DynamicTable1[[#This Row],[Permite agregar una columna.]]&lt;=6,1,0)</f>
        <v>1</v>
      </c>
      <c r="J77" s="6" t="str">
        <f>TEXT(DynamicTable1[[#This Row],[Fecha de creación]],"DDDD")</f>
        <v>lunes</v>
      </c>
      <c r="K77" s="6">
        <f>IF(DynamicTable1[[#This Row],[dia]]="Viernes",4,IF(DynamicTable1[[#This Row],[dia]]="Sábado",2,IF(DynamicTable1[[#This Row],[dia]]="Domingo",1,0)))</f>
        <v>0</v>
      </c>
    </row>
    <row r="78" spans="1:11" hidden="1" x14ac:dyDescent="0.25">
      <c r="A78" t="s">
        <v>185</v>
      </c>
      <c r="B78" t="s">
        <v>23</v>
      </c>
      <c r="C78" t="s">
        <v>127</v>
      </c>
      <c r="D78" t="s">
        <v>21</v>
      </c>
      <c r="E78" t="s">
        <v>186</v>
      </c>
      <c r="F78" s="8">
        <v>46125</v>
      </c>
      <c r="G78" s="8"/>
      <c r="H78" s="6">
        <f>DynamicTable1[[#This Row],[Fecha de cierre]]-DynamicTable1[[#This Row],[Fecha de creación]]</f>
        <v>-46125</v>
      </c>
      <c r="I78" s="4">
        <f>IF(DynamicTable1[[#This Row],[Permite agregar una columna.]]&lt;=6,1,0)</f>
        <v>1</v>
      </c>
      <c r="J78" s="6" t="str">
        <f>TEXT(DynamicTable1[[#This Row],[Fecha de creación]],"DDDD")</f>
        <v>lunes</v>
      </c>
      <c r="K78" s="6">
        <f>IF(DynamicTable1[[#This Row],[dia]]="Viernes",4,IF(DynamicTable1[[#This Row],[dia]]="Sábado",2,IF(DynamicTable1[[#This Row],[dia]]="Domingo",1,0)))</f>
        <v>0</v>
      </c>
    </row>
    <row r="79" spans="1:11" hidden="1" x14ac:dyDescent="0.25">
      <c r="A79" t="s">
        <v>26</v>
      </c>
      <c r="B79" t="s">
        <v>19</v>
      </c>
      <c r="C79"/>
      <c r="D79" t="s">
        <v>11</v>
      </c>
      <c r="E79" t="s">
        <v>187</v>
      </c>
      <c r="F79" s="8">
        <v>46125</v>
      </c>
      <c r="G79" s="8">
        <v>46125</v>
      </c>
      <c r="H79" s="6">
        <f>DynamicTable1[[#This Row],[Fecha de cierre]]-DynamicTable1[[#This Row],[Fecha de creación]]</f>
        <v>0</v>
      </c>
      <c r="I79" s="4">
        <f>IF(DynamicTable1[[#This Row],[Permite agregar una columna.]]&lt;=6,1,0)</f>
        <v>1</v>
      </c>
      <c r="J79" s="6" t="str">
        <f>TEXT(DynamicTable1[[#This Row],[Fecha de creación]],"DDDD")</f>
        <v>lunes</v>
      </c>
      <c r="K79" s="6">
        <f>IF(DynamicTable1[[#This Row],[dia]]="Viernes",4,IF(DynamicTable1[[#This Row],[dia]]="Sábado",2,IF(DynamicTable1[[#This Row],[dia]]="Domingo",1,0)))</f>
        <v>0</v>
      </c>
    </row>
    <row r="80" spans="1:11" hidden="1" x14ac:dyDescent="0.25">
      <c r="A80" t="s">
        <v>188</v>
      </c>
      <c r="B80" t="s">
        <v>22</v>
      </c>
      <c r="C80" t="s">
        <v>12</v>
      </c>
      <c r="D80" t="s">
        <v>11</v>
      </c>
      <c r="E80" t="s">
        <v>189</v>
      </c>
      <c r="F80" s="8">
        <v>46125</v>
      </c>
      <c r="G80" s="8">
        <v>46135</v>
      </c>
      <c r="H80" s="6">
        <f>DynamicTable1[[#This Row],[Fecha de cierre]]-DynamicTable1[[#This Row],[Fecha de creación]]</f>
        <v>10</v>
      </c>
      <c r="I80" s="4">
        <f>IF(DynamicTable1[[#This Row],[Permite agregar una columna.]]&lt;=6,1,0)</f>
        <v>0</v>
      </c>
      <c r="J80" s="6" t="str">
        <f>TEXT(DynamicTable1[[#This Row],[Fecha de creación]],"DDDD")</f>
        <v>lunes</v>
      </c>
      <c r="K80" s="6">
        <f>IF(DynamicTable1[[#This Row],[dia]]="Viernes",4,IF(DynamicTable1[[#This Row],[dia]]="Sábado",2,IF(DynamicTable1[[#This Row],[dia]]="Domingo",1,0)))</f>
        <v>0</v>
      </c>
    </row>
    <row r="81" spans="1:11" hidden="1" x14ac:dyDescent="0.25">
      <c r="A81" t="s">
        <v>190</v>
      </c>
      <c r="B81" t="s">
        <v>13</v>
      </c>
      <c r="C81" t="s">
        <v>24</v>
      </c>
      <c r="D81" t="s">
        <v>21</v>
      </c>
      <c r="E81" t="s">
        <v>191</v>
      </c>
      <c r="F81" s="8">
        <v>46125</v>
      </c>
      <c r="G81" s="8"/>
      <c r="H81" s="6">
        <f>DynamicTable1[[#This Row],[Fecha de cierre]]-DynamicTable1[[#This Row],[Fecha de creación]]</f>
        <v>-46125</v>
      </c>
      <c r="I81" s="4">
        <f>IF(DynamicTable1[[#This Row],[Permite agregar una columna.]]&lt;=6,1,0)</f>
        <v>1</v>
      </c>
      <c r="J81" s="6" t="str">
        <f>TEXT(DynamicTable1[[#This Row],[Fecha de creación]],"DDDD")</f>
        <v>lunes</v>
      </c>
      <c r="K81" s="6">
        <f>IF(DynamicTable1[[#This Row],[dia]]="Viernes",4,IF(DynamicTable1[[#This Row],[dia]]="Sábado",2,IF(DynamicTable1[[#This Row],[dia]]="Domingo",1,0)))</f>
        <v>0</v>
      </c>
    </row>
    <row r="82" spans="1:11" x14ac:dyDescent="0.25">
      <c r="A82" t="s">
        <v>192</v>
      </c>
      <c r="B82" t="s">
        <v>29</v>
      </c>
      <c r="C82" t="s">
        <v>193</v>
      </c>
      <c r="D82" t="s">
        <v>11</v>
      </c>
      <c r="E82" t="s">
        <v>194</v>
      </c>
      <c r="F82" s="8">
        <v>46125</v>
      </c>
      <c r="G82" s="8">
        <v>46135</v>
      </c>
      <c r="H82" s="6">
        <f>DynamicTable1[[#This Row],[Fecha de cierre]]-DynamicTable1[[#This Row],[Fecha de creación]]</f>
        <v>10</v>
      </c>
      <c r="I82" s="4">
        <f>IF(DynamicTable1[[#This Row],[Permite agregar una columna.]]&lt;=6,1,0)</f>
        <v>0</v>
      </c>
      <c r="J82" s="6" t="str">
        <f>TEXT(DynamicTable1[[#This Row],[Fecha de creación]],"DDDD")</f>
        <v>lunes</v>
      </c>
      <c r="K82" s="6">
        <f>IF(DynamicTable1[[#This Row],[dia]]="Viernes",4,IF(DynamicTable1[[#This Row],[dia]]="Sábado",2,IF(DynamicTable1[[#This Row],[dia]]="Domingo",1,0)))</f>
        <v>0</v>
      </c>
    </row>
    <row r="83" spans="1:11" hidden="1" x14ac:dyDescent="0.25">
      <c r="A83" t="s">
        <v>195</v>
      </c>
      <c r="B83" t="s">
        <v>29</v>
      </c>
      <c r="C83"/>
      <c r="D83" t="s">
        <v>11</v>
      </c>
      <c r="E83" t="s">
        <v>196</v>
      </c>
      <c r="F83" s="8">
        <v>46125</v>
      </c>
      <c r="G83" s="8">
        <v>46135</v>
      </c>
      <c r="H83" s="6">
        <f>DynamicTable1[[#This Row],[Fecha de cierre]]-DynamicTable1[[#This Row],[Fecha de creación]]</f>
        <v>10</v>
      </c>
      <c r="I83" s="4">
        <f>IF(DynamicTable1[[#This Row],[Permite agregar una columna.]]&lt;=6,1,0)</f>
        <v>0</v>
      </c>
      <c r="J83" s="6" t="str">
        <f>TEXT(DynamicTable1[[#This Row],[Fecha de creación]],"DDDD")</f>
        <v>lunes</v>
      </c>
      <c r="K83" s="6">
        <f>IF(DynamicTable1[[#This Row],[dia]]="Viernes",4,IF(DynamicTable1[[#This Row],[dia]]="Sábado",2,IF(DynamicTable1[[#This Row],[dia]]="Domingo",1,0)))</f>
        <v>0</v>
      </c>
    </row>
    <row r="84" spans="1:11" hidden="1" x14ac:dyDescent="0.25">
      <c r="A84" t="s">
        <v>197</v>
      </c>
      <c r="B84" t="s">
        <v>29</v>
      </c>
      <c r="C84"/>
      <c r="D84" t="s">
        <v>11</v>
      </c>
      <c r="E84" t="s">
        <v>198</v>
      </c>
      <c r="F84" s="8">
        <v>46125</v>
      </c>
      <c r="G84" s="8">
        <v>46135</v>
      </c>
      <c r="H84" s="6">
        <f>DynamicTable1[[#This Row],[Fecha de cierre]]-DynamicTable1[[#This Row],[Fecha de creación]]</f>
        <v>10</v>
      </c>
      <c r="I84" s="4">
        <f>IF(DynamicTable1[[#This Row],[Permite agregar una columna.]]&lt;=6,1,0)</f>
        <v>0</v>
      </c>
      <c r="J84" s="6" t="str">
        <f>TEXT(DynamicTable1[[#This Row],[Fecha de creación]],"DDDD")</f>
        <v>lunes</v>
      </c>
      <c r="K84" s="6">
        <f>IF(DynamicTable1[[#This Row],[dia]]="Viernes",4,IF(DynamicTable1[[#This Row],[dia]]="Sábado",2,IF(DynamicTable1[[#This Row],[dia]]="Domingo",1,0)))</f>
        <v>0</v>
      </c>
    </row>
    <row r="85" spans="1:11" hidden="1" x14ac:dyDescent="0.25">
      <c r="A85" t="s">
        <v>199</v>
      </c>
      <c r="B85" t="s">
        <v>14</v>
      </c>
      <c r="C85" t="s">
        <v>12</v>
      </c>
      <c r="D85" t="s">
        <v>11</v>
      </c>
      <c r="E85" t="s">
        <v>200</v>
      </c>
      <c r="F85" s="8">
        <v>46126</v>
      </c>
      <c r="G85" s="8">
        <v>46126</v>
      </c>
      <c r="H85" s="6">
        <f>DynamicTable1[[#This Row],[Fecha de cierre]]-DynamicTable1[[#This Row],[Fecha de creación]]</f>
        <v>0</v>
      </c>
      <c r="I85" s="4">
        <f>IF(DynamicTable1[[#This Row],[Permite agregar una columna.]]&lt;=6,1,0)</f>
        <v>1</v>
      </c>
      <c r="J85" s="6" t="str">
        <f>TEXT(DynamicTable1[[#This Row],[Fecha de creación]],"DDDD")</f>
        <v>martes</v>
      </c>
      <c r="K85" s="6">
        <f>IF(DynamicTable1[[#This Row],[dia]]="Viernes",4,IF(DynamicTable1[[#This Row],[dia]]="Sábado",2,IF(DynamicTable1[[#This Row],[dia]]="Domingo",1,0)))</f>
        <v>0</v>
      </c>
    </row>
    <row r="86" spans="1:11" x14ac:dyDescent="0.25">
      <c r="A86" t="s">
        <v>201</v>
      </c>
      <c r="B86" t="s">
        <v>13</v>
      </c>
      <c r="C86" t="s">
        <v>24</v>
      </c>
      <c r="D86" t="s">
        <v>11</v>
      </c>
      <c r="E86" t="s">
        <v>202</v>
      </c>
      <c r="F86" s="8">
        <v>46126</v>
      </c>
      <c r="G86" s="8">
        <v>46126</v>
      </c>
      <c r="H86" s="6">
        <f>DynamicTable1[[#This Row],[Fecha de cierre]]-DynamicTable1[[#This Row],[Fecha de creación]]</f>
        <v>0</v>
      </c>
      <c r="I86" s="4">
        <f>IF(DynamicTable1[[#This Row],[Permite agregar una columna.]]&lt;=6,1,0)</f>
        <v>1</v>
      </c>
      <c r="J86" s="6" t="str">
        <f>TEXT(DynamicTable1[[#This Row],[Fecha de creación]],"DDDD")</f>
        <v>martes</v>
      </c>
      <c r="K86" s="6">
        <f>IF(DynamicTable1[[#This Row],[dia]]="Viernes",4,IF(DynamicTable1[[#This Row],[dia]]="Sábado",2,IF(DynamicTable1[[#This Row],[dia]]="Domingo",1,0)))</f>
        <v>0</v>
      </c>
    </row>
    <row r="87" spans="1:11" hidden="1" x14ac:dyDescent="0.25">
      <c r="A87" t="s">
        <v>203</v>
      </c>
      <c r="B87" t="s">
        <v>14</v>
      </c>
      <c r="C87" t="s">
        <v>12</v>
      </c>
      <c r="D87" t="s">
        <v>11</v>
      </c>
      <c r="E87" t="s">
        <v>204</v>
      </c>
      <c r="F87" s="8">
        <v>46126</v>
      </c>
      <c r="G87" s="8">
        <v>46126</v>
      </c>
      <c r="H87" s="6">
        <f>DynamicTable1[[#This Row],[Fecha de cierre]]-DynamicTable1[[#This Row],[Fecha de creación]]</f>
        <v>0</v>
      </c>
      <c r="I87" s="4">
        <f>IF(DynamicTable1[[#This Row],[Permite agregar una columna.]]&lt;=6,1,0)</f>
        <v>1</v>
      </c>
      <c r="J87" s="6" t="str">
        <f>TEXT(DynamicTable1[[#This Row],[Fecha de creación]],"DDDD")</f>
        <v>martes</v>
      </c>
      <c r="K87" s="6">
        <f>IF(DynamicTable1[[#This Row],[dia]]="Viernes",4,IF(DynamicTable1[[#This Row],[dia]]="Sábado",2,IF(DynamicTable1[[#This Row],[dia]]="Domingo",1,0)))</f>
        <v>0</v>
      </c>
    </row>
    <row r="88" spans="1:11" hidden="1" x14ac:dyDescent="0.25">
      <c r="A88" t="s">
        <v>205</v>
      </c>
      <c r="B88" t="s">
        <v>19</v>
      </c>
      <c r="C88"/>
      <c r="D88" t="s">
        <v>11</v>
      </c>
      <c r="E88" t="s">
        <v>206</v>
      </c>
      <c r="F88" s="8">
        <v>46126</v>
      </c>
      <c r="G88" s="8">
        <v>46126</v>
      </c>
      <c r="H88" s="6">
        <f>DynamicTable1[[#This Row],[Fecha de cierre]]-DynamicTable1[[#This Row],[Fecha de creación]]</f>
        <v>0</v>
      </c>
      <c r="I88" s="4">
        <f>IF(DynamicTable1[[#This Row],[Permite agregar una columna.]]&lt;=6,1,0)</f>
        <v>1</v>
      </c>
      <c r="J88" s="6" t="str">
        <f>TEXT(DynamicTable1[[#This Row],[Fecha de creación]],"DDDD")</f>
        <v>martes</v>
      </c>
      <c r="K88" s="6">
        <f>IF(DynamicTable1[[#This Row],[dia]]="Viernes",4,IF(DynamicTable1[[#This Row],[dia]]="Sábado",2,IF(DynamicTable1[[#This Row],[dia]]="Domingo",1,0)))</f>
        <v>0</v>
      </c>
    </row>
    <row r="89" spans="1:11" x14ac:dyDescent="0.25">
      <c r="A89" t="s">
        <v>207</v>
      </c>
      <c r="B89" t="s">
        <v>19</v>
      </c>
      <c r="C89" t="s">
        <v>24</v>
      </c>
      <c r="D89" t="s">
        <v>11</v>
      </c>
      <c r="E89" t="s">
        <v>208</v>
      </c>
      <c r="F89" s="8">
        <v>46126</v>
      </c>
      <c r="G89" s="8">
        <v>46126</v>
      </c>
      <c r="H89" s="6">
        <f>DynamicTable1[[#This Row],[Fecha de cierre]]-DynamicTable1[[#This Row],[Fecha de creación]]</f>
        <v>0</v>
      </c>
      <c r="I89" s="4">
        <f>IF(DynamicTable1[[#This Row],[Permite agregar una columna.]]&lt;=6,1,0)</f>
        <v>1</v>
      </c>
      <c r="J89" s="6" t="str">
        <f>TEXT(DynamicTable1[[#This Row],[Fecha de creación]],"DDDD")</f>
        <v>martes</v>
      </c>
      <c r="K89" s="6">
        <f>IF(DynamicTable1[[#This Row],[dia]]="Viernes",4,IF(DynamicTable1[[#This Row],[dia]]="Sábado",2,IF(DynamicTable1[[#This Row],[dia]]="Domingo",1,0)))</f>
        <v>0</v>
      </c>
    </row>
    <row r="90" spans="1:11" hidden="1" x14ac:dyDescent="0.25">
      <c r="A90" t="s">
        <v>209</v>
      </c>
      <c r="B90" t="s">
        <v>210</v>
      </c>
      <c r="C90" t="s">
        <v>20</v>
      </c>
      <c r="D90" t="s">
        <v>11</v>
      </c>
      <c r="E90" t="s">
        <v>211</v>
      </c>
      <c r="F90" s="8">
        <v>46126</v>
      </c>
      <c r="G90" s="8">
        <v>46132</v>
      </c>
      <c r="H90" s="6">
        <f>DynamicTable1[[#This Row],[Fecha de cierre]]-DynamicTable1[[#This Row],[Fecha de creación]]</f>
        <v>6</v>
      </c>
      <c r="I90" s="4">
        <f>IF(DynamicTable1[[#This Row],[Permite agregar una columna.]]&lt;=6,1,0)</f>
        <v>1</v>
      </c>
      <c r="J90" s="6" t="str">
        <f>TEXT(DynamicTable1[[#This Row],[Fecha de creación]],"DDDD")</f>
        <v>martes</v>
      </c>
      <c r="K90" s="6">
        <f>IF(DynamicTable1[[#This Row],[dia]]="Viernes",4,IF(DynamicTable1[[#This Row],[dia]]="Sábado",2,IF(DynamicTable1[[#This Row],[dia]]="Domingo",1,0)))</f>
        <v>0</v>
      </c>
    </row>
    <row r="91" spans="1:11" hidden="1" x14ac:dyDescent="0.25">
      <c r="A91" t="s">
        <v>212</v>
      </c>
      <c r="B91" t="s">
        <v>13</v>
      </c>
      <c r="C91"/>
      <c r="D91" t="s">
        <v>11</v>
      </c>
      <c r="E91" t="s">
        <v>213</v>
      </c>
      <c r="F91" s="8">
        <v>46126</v>
      </c>
      <c r="G91" s="8">
        <v>46126</v>
      </c>
      <c r="H91" s="6">
        <f>DynamicTable1[[#This Row],[Fecha de cierre]]-DynamicTable1[[#This Row],[Fecha de creación]]</f>
        <v>0</v>
      </c>
      <c r="I91" s="4">
        <f>IF(DynamicTable1[[#This Row],[Permite agregar una columna.]]&lt;=6,1,0)</f>
        <v>1</v>
      </c>
      <c r="J91" s="6" t="str">
        <f>TEXT(DynamicTable1[[#This Row],[Fecha de creación]],"DDDD")</f>
        <v>martes</v>
      </c>
      <c r="K91" s="6">
        <f>IF(DynamicTable1[[#This Row],[dia]]="Viernes",4,IF(DynamicTable1[[#This Row],[dia]]="Sábado",2,IF(DynamicTable1[[#This Row],[dia]]="Domingo",1,0)))</f>
        <v>0</v>
      </c>
    </row>
    <row r="92" spans="1:11" hidden="1" x14ac:dyDescent="0.25">
      <c r="A92" t="s">
        <v>214</v>
      </c>
      <c r="B92" t="s">
        <v>19</v>
      </c>
      <c r="C92" t="s">
        <v>12</v>
      </c>
      <c r="D92" t="s">
        <v>11</v>
      </c>
      <c r="E92" t="s">
        <v>215</v>
      </c>
      <c r="F92" s="8">
        <v>46126</v>
      </c>
      <c r="G92" s="8">
        <v>46127</v>
      </c>
      <c r="H92" s="6">
        <f>DynamicTable1[[#This Row],[Fecha de cierre]]-DynamicTable1[[#This Row],[Fecha de creación]]</f>
        <v>1</v>
      </c>
      <c r="I92" s="4">
        <f>IF(DynamicTable1[[#This Row],[Permite agregar una columna.]]&lt;=6,1,0)</f>
        <v>1</v>
      </c>
      <c r="J92" s="6" t="str">
        <f>TEXT(DynamicTable1[[#This Row],[Fecha de creación]],"DDDD")</f>
        <v>martes</v>
      </c>
      <c r="K92" s="6">
        <f>IF(DynamicTable1[[#This Row],[dia]]="Viernes",4,IF(DynamicTable1[[#This Row],[dia]]="Sábado",2,IF(DynamicTable1[[#This Row],[dia]]="Domingo",1,0)))</f>
        <v>0</v>
      </c>
    </row>
    <row r="93" spans="1:11" hidden="1" x14ac:dyDescent="0.25">
      <c r="A93" t="s">
        <v>216</v>
      </c>
      <c r="B93" t="s">
        <v>19</v>
      </c>
      <c r="C93" t="s">
        <v>12</v>
      </c>
      <c r="D93" t="s">
        <v>11</v>
      </c>
      <c r="E93" t="s">
        <v>217</v>
      </c>
      <c r="F93" s="8">
        <v>46126</v>
      </c>
      <c r="G93" s="8">
        <v>46126</v>
      </c>
      <c r="H93" s="6">
        <f>DynamicTable1[[#This Row],[Fecha de cierre]]-DynamicTable1[[#This Row],[Fecha de creación]]</f>
        <v>0</v>
      </c>
      <c r="I93" s="4">
        <f>IF(DynamicTable1[[#This Row],[Permite agregar una columna.]]&lt;=6,1,0)</f>
        <v>1</v>
      </c>
      <c r="J93" s="6" t="str">
        <f>TEXT(DynamicTable1[[#This Row],[Fecha de creación]],"DDDD")</f>
        <v>martes</v>
      </c>
      <c r="K93" s="6">
        <f>IF(DynamicTable1[[#This Row],[dia]]="Viernes",4,IF(DynamicTable1[[#This Row],[dia]]="Sábado",2,IF(DynamicTable1[[#This Row],[dia]]="Domingo",1,0)))</f>
        <v>0</v>
      </c>
    </row>
    <row r="94" spans="1:11" x14ac:dyDescent="0.25">
      <c r="A94" t="s">
        <v>218</v>
      </c>
      <c r="B94" t="s">
        <v>17</v>
      </c>
      <c r="C94" t="s">
        <v>24</v>
      </c>
      <c r="D94" t="s">
        <v>11</v>
      </c>
      <c r="E94" t="s">
        <v>219</v>
      </c>
      <c r="F94" s="8">
        <v>46126</v>
      </c>
      <c r="G94" s="8">
        <v>46126</v>
      </c>
      <c r="H94" s="6">
        <f>DynamicTable1[[#This Row],[Fecha de cierre]]-DynamicTable1[[#This Row],[Fecha de creación]]</f>
        <v>0</v>
      </c>
      <c r="I94" s="4">
        <f>IF(DynamicTable1[[#This Row],[Permite agregar una columna.]]&lt;=6,1,0)</f>
        <v>1</v>
      </c>
      <c r="J94" s="6" t="str">
        <f>TEXT(DynamicTable1[[#This Row],[Fecha de creación]],"DDDD")</f>
        <v>martes</v>
      </c>
      <c r="K94" s="6">
        <f>IF(DynamicTable1[[#This Row],[dia]]="Viernes",4,IF(DynamicTable1[[#This Row],[dia]]="Sábado",2,IF(DynamicTable1[[#This Row],[dia]]="Domingo",1,0)))</f>
        <v>0</v>
      </c>
    </row>
    <row r="95" spans="1:11" x14ac:dyDescent="0.25">
      <c r="A95" t="s">
        <v>220</v>
      </c>
      <c r="B95" t="s">
        <v>17</v>
      </c>
      <c r="C95" t="s">
        <v>24</v>
      </c>
      <c r="D95" t="s">
        <v>11</v>
      </c>
      <c r="E95" t="s">
        <v>221</v>
      </c>
      <c r="F95" s="8">
        <v>46126</v>
      </c>
      <c r="G95" s="8">
        <v>46126</v>
      </c>
      <c r="H95" s="6">
        <f>DynamicTable1[[#This Row],[Fecha de cierre]]-DynamicTable1[[#This Row],[Fecha de creación]]</f>
        <v>0</v>
      </c>
      <c r="I95" s="4">
        <f>IF(DynamicTable1[[#This Row],[Permite agregar una columna.]]&lt;=6,1,0)</f>
        <v>1</v>
      </c>
      <c r="J95" s="6" t="str">
        <f>TEXT(DynamicTable1[[#This Row],[Fecha de creación]],"DDDD")</f>
        <v>martes</v>
      </c>
      <c r="K95" s="6">
        <f>IF(DynamicTable1[[#This Row],[dia]]="Viernes",4,IF(DynamicTable1[[#This Row],[dia]]="Sábado",2,IF(DynamicTable1[[#This Row],[dia]]="Domingo",1,0)))</f>
        <v>0</v>
      </c>
    </row>
    <row r="96" spans="1:11" x14ac:dyDescent="0.25">
      <c r="A96" t="s">
        <v>222</v>
      </c>
      <c r="B96" t="s">
        <v>13</v>
      </c>
      <c r="C96" t="s">
        <v>24</v>
      </c>
      <c r="D96" t="s">
        <v>11</v>
      </c>
      <c r="E96" t="s">
        <v>223</v>
      </c>
      <c r="F96" s="8">
        <v>46126</v>
      </c>
      <c r="G96" s="8">
        <v>46126</v>
      </c>
      <c r="H96" s="6">
        <f>DynamicTable1[[#This Row],[Fecha de cierre]]-DynamicTable1[[#This Row],[Fecha de creación]]</f>
        <v>0</v>
      </c>
      <c r="I96" s="4">
        <f>IF(DynamicTable1[[#This Row],[Permite agregar una columna.]]&lt;=6,1,0)</f>
        <v>1</v>
      </c>
      <c r="J96" s="6" t="str">
        <f>TEXT(DynamicTable1[[#This Row],[Fecha de creación]],"DDDD")</f>
        <v>martes</v>
      </c>
      <c r="K96" s="6">
        <f>IF(DynamicTable1[[#This Row],[dia]]="Viernes",4,IF(DynamicTable1[[#This Row],[dia]]="Sábado",2,IF(DynamicTable1[[#This Row],[dia]]="Domingo",1,0)))</f>
        <v>0</v>
      </c>
    </row>
    <row r="97" spans="1:11" x14ac:dyDescent="0.25">
      <c r="A97" t="s">
        <v>224</v>
      </c>
      <c r="B97" t="s">
        <v>19</v>
      </c>
      <c r="C97" t="s">
        <v>24</v>
      </c>
      <c r="D97" t="s">
        <v>11</v>
      </c>
      <c r="E97" t="s">
        <v>225</v>
      </c>
      <c r="F97" s="8">
        <v>46126</v>
      </c>
      <c r="G97" s="8">
        <v>46126</v>
      </c>
      <c r="H97" s="6">
        <f>DynamicTable1[[#This Row],[Fecha de cierre]]-DynamicTable1[[#This Row],[Fecha de creación]]</f>
        <v>0</v>
      </c>
      <c r="I97" s="4">
        <f>IF(DynamicTable1[[#This Row],[Permite agregar una columna.]]&lt;=6,1,0)</f>
        <v>1</v>
      </c>
      <c r="J97" s="6" t="str">
        <f>TEXT(DynamicTable1[[#This Row],[Fecha de creación]],"DDDD")</f>
        <v>martes</v>
      </c>
      <c r="K97" s="6">
        <f>IF(DynamicTable1[[#This Row],[dia]]="Viernes",4,IF(DynamicTable1[[#This Row],[dia]]="Sábado",2,IF(DynamicTable1[[#This Row],[dia]]="Domingo",1,0)))</f>
        <v>0</v>
      </c>
    </row>
    <row r="98" spans="1:11" x14ac:dyDescent="0.25">
      <c r="A98" t="s">
        <v>226</v>
      </c>
      <c r="B98" t="s">
        <v>19</v>
      </c>
      <c r="C98" t="s">
        <v>24</v>
      </c>
      <c r="D98" t="s">
        <v>11</v>
      </c>
      <c r="E98" t="s">
        <v>227</v>
      </c>
      <c r="F98" s="8">
        <v>46126</v>
      </c>
      <c r="G98" s="8">
        <v>46126</v>
      </c>
      <c r="H98" s="6">
        <f>DynamicTable1[[#This Row],[Fecha de cierre]]-DynamicTable1[[#This Row],[Fecha de creación]]</f>
        <v>0</v>
      </c>
      <c r="I98" s="4">
        <f>IF(DynamicTable1[[#This Row],[Permite agregar una columna.]]&lt;=6,1,0)</f>
        <v>1</v>
      </c>
      <c r="J98" s="6" t="str">
        <f>TEXT(DynamicTable1[[#This Row],[Fecha de creación]],"DDDD")</f>
        <v>martes</v>
      </c>
      <c r="K98" s="6">
        <f>IF(DynamicTable1[[#This Row],[dia]]="Viernes",4,IF(DynamicTable1[[#This Row],[dia]]="Sábado",2,IF(DynamicTable1[[#This Row],[dia]]="Domingo",1,0)))</f>
        <v>0</v>
      </c>
    </row>
    <row r="99" spans="1:11" hidden="1" x14ac:dyDescent="0.25">
      <c r="A99" t="s">
        <v>228</v>
      </c>
      <c r="B99" t="s">
        <v>13</v>
      </c>
      <c r="C99"/>
      <c r="D99" t="s">
        <v>11</v>
      </c>
      <c r="E99" t="s">
        <v>229</v>
      </c>
      <c r="F99" s="8">
        <v>46126</v>
      </c>
      <c r="G99" s="8">
        <v>46127</v>
      </c>
      <c r="H99" s="6">
        <f>DynamicTable1[[#This Row],[Fecha de cierre]]-DynamicTable1[[#This Row],[Fecha de creación]]</f>
        <v>1</v>
      </c>
      <c r="I99" s="4">
        <f>IF(DynamicTable1[[#This Row],[Permite agregar una columna.]]&lt;=6,1,0)</f>
        <v>1</v>
      </c>
      <c r="J99" s="6" t="str">
        <f>TEXT(DynamicTable1[[#This Row],[Fecha de creación]],"DDDD")</f>
        <v>martes</v>
      </c>
      <c r="K99" s="6">
        <f>IF(DynamicTable1[[#This Row],[dia]]="Viernes",4,IF(DynamicTable1[[#This Row],[dia]]="Sábado",2,IF(DynamicTable1[[#This Row],[dia]]="Domingo",1,0)))</f>
        <v>0</v>
      </c>
    </row>
    <row r="100" spans="1:11" x14ac:dyDescent="0.25">
      <c r="A100" t="s">
        <v>230</v>
      </c>
      <c r="B100" t="s">
        <v>13</v>
      </c>
      <c r="C100" t="s">
        <v>24</v>
      </c>
      <c r="D100" t="s">
        <v>11</v>
      </c>
      <c r="E100" t="s">
        <v>231</v>
      </c>
      <c r="F100" s="8">
        <v>46126</v>
      </c>
      <c r="G100" s="8">
        <v>46127</v>
      </c>
      <c r="H100" s="6">
        <f>DynamicTable1[[#This Row],[Fecha de cierre]]-DynamicTable1[[#This Row],[Fecha de creación]]</f>
        <v>1</v>
      </c>
      <c r="I100" s="4">
        <f>IF(DynamicTable1[[#This Row],[Permite agregar una columna.]]&lt;=6,1,0)</f>
        <v>1</v>
      </c>
      <c r="J100" s="6" t="str">
        <f>TEXT(DynamicTable1[[#This Row],[Fecha de creación]],"DDDD")</f>
        <v>martes</v>
      </c>
      <c r="K100" s="6">
        <f>IF(DynamicTable1[[#This Row],[dia]]="Viernes",4,IF(DynamicTable1[[#This Row],[dia]]="Sábado",2,IF(DynamicTable1[[#This Row],[dia]]="Domingo",1,0)))</f>
        <v>0</v>
      </c>
    </row>
    <row r="101" spans="1:11" hidden="1" x14ac:dyDescent="0.25">
      <c r="A101" t="s">
        <v>232</v>
      </c>
      <c r="B101" t="s">
        <v>13</v>
      </c>
      <c r="C101"/>
      <c r="D101" t="s">
        <v>11</v>
      </c>
      <c r="E101" t="s">
        <v>233</v>
      </c>
      <c r="F101" s="8">
        <v>46126</v>
      </c>
      <c r="G101" s="8">
        <v>46127</v>
      </c>
      <c r="H101" s="6">
        <f>DynamicTable1[[#This Row],[Fecha de cierre]]-DynamicTable1[[#This Row],[Fecha de creación]]</f>
        <v>1</v>
      </c>
      <c r="I101" s="4">
        <f>IF(DynamicTable1[[#This Row],[Permite agregar una columna.]]&lt;=6,1,0)</f>
        <v>1</v>
      </c>
      <c r="J101" s="6" t="str">
        <f>TEXT(DynamicTable1[[#This Row],[Fecha de creación]],"DDDD")</f>
        <v>martes</v>
      </c>
      <c r="K101" s="6">
        <f>IF(DynamicTable1[[#This Row],[dia]]="Viernes",4,IF(DynamicTable1[[#This Row],[dia]]="Sábado",2,IF(DynamicTable1[[#This Row],[dia]]="Domingo",1,0)))</f>
        <v>0</v>
      </c>
    </row>
    <row r="102" spans="1:11" x14ac:dyDescent="0.25">
      <c r="A102" t="s">
        <v>234</v>
      </c>
      <c r="B102" t="s">
        <v>14</v>
      </c>
      <c r="C102" t="s">
        <v>24</v>
      </c>
      <c r="D102" t="s">
        <v>11</v>
      </c>
      <c r="E102" t="s">
        <v>235</v>
      </c>
      <c r="F102" s="8">
        <v>46127</v>
      </c>
      <c r="G102" s="8">
        <v>46127</v>
      </c>
      <c r="H102" s="6">
        <f>DynamicTable1[[#This Row],[Fecha de cierre]]-DynamicTable1[[#This Row],[Fecha de creación]]</f>
        <v>0</v>
      </c>
      <c r="I102" s="4">
        <f>IF(DynamicTable1[[#This Row],[Permite agregar una columna.]]&lt;=6,1,0)</f>
        <v>1</v>
      </c>
      <c r="J102" s="6" t="str">
        <f>TEXT(DynamicTable1[[#This Row],[Fecha de creación]],"DDDD")</f>
        <v>miércoles</v>
      </c>
      <c r="K102" s="6">
        <f>IF(DynamicTable1[[#This Row],[dia]]="Viernes",4,IF(DynamicTable1[[#This Row],[dia]]="Sábado",2,IF(DynamicTable1[[#This Row],[dia]]="Domingo",1,0)))</f>
        <v>0</v>
      </c>
    </row>
    <row r="103" spans="1:11" hidden="1" x14ac:dyDescent="0.25">
      <c r="A103" t="s">
        <v>236</v>
      </c>
      <c r="B103" t="s">
        <v>13</v>
      </c>
      <c r="C103" t="s">
        <v>20</v>
      </c>
      <c r="D103" t="s">
        <v>21</v>
      </c>
      <c r="E103" t="s">
        <v>237</v>
      </c>
      <c r="F103" s="8">
        <v>46127</v>
      </c>
      <c r="G103" s="8"/>
      <c r="H103" s="6">
        <f>DynamicTable1[[#This Row],[Fecha de cierre]]-DynamicTable1[[#This Row],[Fecha de creación]]</f>
        <v>-46127</v>
      </c>
      <c r="I103" s="4">
        <f>IF(DynamicTable1[[#This Row],[Permite agregar una columna.]]&lt;=6,1,0)</f>
        <v>1</v>
      </c>
      <c r="J103" s="6" t="str">
        <f>TEXT(DynamicTable1[[#This Row],[Fecha de creación]],"DDDD")</f>
        <v>miércoles</v>
      </c>
      <c r="K103" s="6">
        <f>IF(DynamicTable1[[#This Row],[dia]]="Viernes",4,IF(DynamicTable1[[#This Row],[dia]]="Sábado",2,IF(DynamicTable1[[#This Row],[dia]]="Domingo",1,0)))</f>
        <v>0</v>
      </c>
    </row>
    <row r="104" spans="1:11" x14ac:dyDescent="0.25">
      <c r="A104" t="s">
        <v>238</v>
      </c>
      <c r="B104" t="s">
        <v>14</v>
      </c>
      <c r="C104" t="s">
        <v>24</v>
      </c>
      <c r="D104" t="s">
        <v>11</v>
      </c>
      <c r="E104" t="s">
        <v>239</v>
      </c>
      <c r="F104" s="8">
        <v>46127</v>
      </c>
      <c r="G104" s="8">
        <v>46127</v>
      </c>
      <c r="H104" s="6">
        <f>DynamicTable1[[#This Row],[Fecha de cierre]]-DynamicTable1[[#This Row],[Fecha de creación]]</f>
        <v>0</v>
      </c>
      <c r="I104" s="4">
        <f>IF(DynamicTable1[[#This Row],[Permite agregar una columna.]]&lt;=6,1,0)</f>
        <v>1</v>
      </c>
      <c r="J104" s="6" t="str">
        <f>TEXT(DynamicTable1[[#This Row],[Fecha de creación]],"DDDD")</f>
        <v>miércoles</v>
      </c>
      <c r="K104" s="6">
        <f>IF(DynamicTable1[[#This Row],[dia]]="Viernes",4,IF(DynamicTable1[[#This Row],[dia]]="Sábado",2,IF(DynamicTable1[[#This Row],[dia]]="Domingo",1,0)))</f>
        <v>0</v>
      </c>
    </row>
    <row r="105" spans="1:11" x14ac:dyDescent="0.25">
      <c r="A105" t="s">
        <v>240</v>
      </c>
      <c r="B105" t="s">
        <v>14</v>
      </c>
      <c r="C105" t="s">
        <v>24</v>
      </c>
      <c r="D105" t="s">
        <v>11</v>
      </c>
      <c r="E105" t="s">
        <v>241</v>
      </c>
      <c r="F105" s="8">
        <v>46127</v>
      </c>
      <c r="G105" s="8">
        <v>46127</v>
      </c>
      <c r="H105" s="6">
        <f>DynamicTable1[[#This Row],[Fecha de cierre]]-DynamicTable1[[#This Row],[Fecha de creación]]</f>
        <v>0</v>
      </c>
      <c r="I105" s="4">
        <f>IF(DynamicTable1[[#This Row],[Permite agregar una columna.]]&lt;=6,1,0)</f>
        <v>1</v>
      </c>
      <c r="J105" s="6" t="str">
        <f>TEXT(DynamicTable1[[#This Row],[Fecha de creación]],"DDDD")</f>
        <v>miércoles</v>
      </c>
      <c r="K105" s="6">
        <f>IF(DynamicTable1[[#This Row],[dia]]="Viernes",4,IF(DynamicTable1[[#This Row],[dia]]="Sábado",2,IF(DynamicTable1[[#This Row],[dia]]="Domingo",1,0)))</f>
        <v>0</v>
      </c>
    </row>
    <row r="106" spans="1:11" hidden="1" x14ac:dyDescent="0.25">
      <c r="A106" t="s">
        <v>242</v>
      </c>
      <c r="B106" t="s">
        <v>19</v>
      </c>
      <c r="C106"/>
      <c r="D106" t="s">
        <v>11</v>
      </c>
      <c r="E106" t="s">
        <v>243</v>
      </c>
      <c r="F106" s="8">
        <v>46127</v>
      </c>
      <c r="G106" s="8">
        <v>46127</v>
      </c>
      <c r="H106" s="6">
        <f>DynamicTable1[[#This Row],[Fecha de cierre]]-DynamicTable1[[#This Row],[Fecha de creación]]</f>
        <v>0</v>
      </c>
      <c r="I106" s="4">
        <f>IF(DynamicTable1[[#This Row],[Permite agregar una columna.]]&lt;=6,1,0)</f>
        <v>1</v>
      </c>
      <c r="J106" s="6" t="str">
        <f>TEXT(DynamicTable1[[#This Row],[Fecha de creación]],"DDDD")</f>
        <v>miércoles</v>
      </c>
      <c r="K106" s="6">
        <f>IF(DynamicTable1[[#This Row],[dia]]="Viernes",4,IF(DynamicTable1[[#This Row],[dia]]="Sábado",2,IF(DynamicTable1[[#This Row],[dia]]="Domingo",1,0)))</f>
        <v>0</v>
      </c>
    </row>
    <row r="107" spans="1:11" hidden="1" x14ac:dyDescent="0.25">
      <c r="A107" t="s">
        <v>244</v>
      </c>
      <c r="B107" t="s">
        <v>13</v>
      </c>
      <c r="C107" t="s">
        <v>12</v>
      </c>
      <c r="D107" t="s">
        <v>11</v>
      </c>
      <c r="E107" t="s">
        <v>245</v>
      </c>
      <c r="F107" s="8">
        <v>46127</v>
      </c>
      <c r="G107" s="8">
        <v>46135</v>
      </c>
      <c r="H107" s="6">
        <f>DynamicTable1[[#This Row],[Fecha de cierre]]-DynamicTable1[[#This Row],[Fecha de creación]]</f>
        <v>8</v>
      </c>
      <c r="I107" s="4">
        <f>IF(DynamicTable1[[#This Row],[Permite agregar una columna.]]&lt;=6,1,0)</f>
        <v>0</v>
      </c>
      <c r="J107" s="6" t="str">
        <f>TEXT(DynamicTable1[[#This Row],[Fecha de creación]],"DDDD")</f>
        <v>miércoles</v>
      </c>
      <c r="K107" s="6">
        <f>IF(DynamicTable1[[#This Row],[dia]]="Viernes",4,IF(DynamicTable1[[#This Row],[dia]]="Sábado",2,IF(DynamicTable1[[#This Row],[dia]]="Domingo",1,0)))</f>
        <v>0</v>
      </c>
    </row>
    <row r="108" spans="1:11" hidden="1" x14ac:dyDescent="0.25">
      <c r="A108" t="s">
        <v>246</v>
      </c>
      <c r="B108" t="s">
        <v>18</v>
      </c>
      <c r="C108" t="s">
        <v>12</v>
      </c>
      <c r="D108" t="s">
        <v>11</v>
      </c>
      <c r="E108" t="s">
        <v>247</v>
      </c>
      <c r="F108" s="8">
        <v>46127</v>
      </c>
      <c r="G108" s="8">
        <v>46134</v>
      </c>
      <c r="H108" s="6">
        <f>DynamicTable1[[#This Row],[Fecha de cierre]]-DynamicTable1[[#This Row],[Fecha de creación]]</f>
        <v>7</v>
      </c>
      <c r="I108" s="4">
        <f>IF(DynamicTable1[[#This Row],[Permite agregar una columna.]]&lt;=6,1,0)</f>
        <v>0</v>
      </c>
      <c r="J108" s="6" t="str">
        <f>TEXT(DynamicTable1[[#This Row],[Fecha de creación]],"DDDD")</f>
        <v>miércoles</v>
      </c>
      <c r="K108" s="6">
        <f>IF(DynamicTable1[[#This Row],[dia]]="Viernes",4,IF(DynamicTable1[[#This Row],[dia]]="Sábado",2,IF(DynamicTable1[[#This Row],[dia]]="Domingo",1,0)))</f>
        <v>0</v>
      </c>
    </row>
    <row r="109" spans="1:11" x14ac:dyDescent="0.25">
      <c r="A109" t="s">
        <v>248</v>
      </c>
      <c r="B109" t="s">
        <v>13</v>
      </c>
      <c r="C109" t="s">
        <v>24</v>
      </c>
      <c r="D109" t="s">
        <v>11</v>
      </c>
      <c r="E109" t="s">
        <v>249</v>
      </c>
      <c r="F109" s="8">
        <v>46127</v>
      </c>
      <c r="G109" s="8">
        <v>46128</v>
      </c>
      <c r="H109" s="6">
        <f>DynamicTable1[[#This Row],[Fecha de cierre]]-DynamicTable1[[#This Row],[Fecha de creación]]</f>
        <v>1</v>
      </c>
      <c r="I109" s="4">
        <f>IF(DynamicTable1[[#This Row],[Permite agregar una columna.]]&lt;=6,1,0)</f>
        <v>1</v>
      </c>
      <c r="J109" s="6" t="str">
        <f>TEXT(DynamicTable1[[#This Row],[Fecha de creación]],"DDDD")</f>
        <v>miércoles</v>
      </c>
      <c r="K109" s="6">
        <f>IF(DynamicTable1[[#This Row],[dia]]="Viernes",4,IF(DynamicTable1[[#This Row],[dia]]="Sábado",2,IF(DynamicTable1[[#This Row],[dia]]="Domingo",1,0)))</f>
        <v>0</v>
      </c>
    </row>
    <row r="110" spans="1:11" x14ac:dyDescent="0.25">
      <c r="A110" t="s">
        <v>250</v>
      </c>
      <c r="B110" t="s">
        <v>13</v>
      </c>
      <c r="C110" t="s">
        <v>24</v>
      </c>
      <c r="D110" t="s">
        <v>11</v>
      </c>
      <c r="E110" t="s">
        <v>251</v>
      </c>
      <c r="F110" s="8">
        <v>46127</v>
      </c>
      <c r="G110" s="8">
        <v>46129</v>
      </c>
      <c r="H110" s="6">
        <f>DynamicTable1[[#This Row],[Fecha de cierre]]-DynamicTable1[[#This Row],[Fecha de creación]]</f>
        <v>2</v>
      </c>
      <c r="I110" s="4">
        <f>IF(DynamicTable1[[#This Row],[Permite agregar una columna.]]&lt;=6,1,0)</f>
        <v>1</v>
      </c>
      <c r="J110" s="6" t="str">
        <f>TEXT(DynamicTable1[[#This Row],[Fecha de creación]],"DDDD")</f>
        <v>miércoles</v>
      </c>
      <c r="K110" s="6">
        <f>IF(DynamicTable1[[#This Row],[dia]]="Viernes",4,IF(DynamicTable1[[#This Row],[dia]]="Sábado",2,IF(DynamicTable1[[#This Row],[dia]]="Domingo",1,0)))</f>
        <v>0</v>
      </c>
    </row>
    <row r="111" spans="1:11" hidden="1" x14ac:dyDescent="0.25">
      <c r="A111" t="s">
        <v>252</v>
      </c>
      <c r="B111" t="s">
        <v>19</v>
      </c>
      <c r="C111"/>
      <c r="D111" t="s">
        <v>11</v>
      </c>
      <c r="E111" t="s">
        <v>253</v>
      </c>
      <c r="F111" s="8">
        <v>46127</v>
      </c>
      <c r="G111" s="8">
        <v>46140</v>
      </c>
      <c r="H111" s="6">
        <f>DynamicTable1[[#This Row],[Fecha de cierre]]-DynamicTable1[[#This Row],[Fecha de creación]]</f>
        <v>13</v>
      </c>
      <c r="I111" s="4">
        <f>IF(DynamicTable1[[#This Row],[Permite agregar una columna.]]&lt;=6,1,0)</f>
        <v>0</v>
      </c>
      <c r="J111" s="6" t="str">
        <f>TEXT(DynamicTable1[[#This Row],[Fecha de creación]],"DDDD")</f>
        <v>miércoles</v>
      </c>
      <c r="K111" s="6">
        <f>IF(DynamicTable1[[#This Row],[dia]]="Viernes",4,IF(DynamicTable1[[#This Row],[dia]]="Sábado",2,IF(DynamicTable1[[#This Row],[dia]]="Domingo",1,0)))</f>
        <v>0</v>
      </c>
    </row>
    <row r="112" spans="1:11" hidden="1" x14ac:dyDescent="0.25">
      <c r="A112" t="s">
        <v>254</v>
      </c>
      <c r="B112" t="s">
        <v>19</v>
      </c>
      <c r="C112"/>
      <c r="D112" t="s">
        <v>11</v>
      </c>
      <c r="E112" t="s">
        <v>255</v>
      </c>
      <c r="F112" s="8">
        <v>46127</v>
      </c>
      <c r="G112" s="8">
        <v>46134</v>
      </c>
      <c r="H112" s="6">
        <f>DynamicTable1[[#This Row],[Fecha de cierre]]-DynamicTable1[[#This Row],[Fecha de creación]]</f>
        <v>7</v>
      </c>
      <c r="I112" s="4">
        <f>IF(DynamicTable1[[#This Row],[Permite agregar una columna.]]&lt;=6,1,0)</f>
        <v>0</v>
      </c>
      <c r="J112" s="6" t="str">
        <f>TEXT(DynamicTable1[[#This Row],[Fecha de creación]],"DDDD")</f>
        <v>miércoles</v>
      </c>
      <c r="K112" s="6">
        <f>IF(DynamicTable1[[#This Row],[dia]]="Viernes",4,IF(DynamicTable1[[#This Row],[dia]]="Sábado",2,IF(DynamicTable1[[#This Row],[dia]]="Domingo",1,0)))</f>
        <v>0</v>
      </c>
    </row>
    <row r="113" spans="1:11" hidden="1" x14ac:dyDescent="0.25">
      <c r="A113" t="s">
        <v>256</v>
      </c>
      <c r="B113" t="s">
        <v>13</v>
      </c>
      <c r="C113" t="s">
        <v>12</v>
      </c>
      <c r="D113" t="s">
        <v>11</v>
      </c>
      <c r="E113" t="s">
        <v>257</v>
      </c>
      <c r="F113" s="8">
        <v>46127</v>
      </c>
      <c r="G113" s="8">
        <v>46134</v>
      </c>
      <c r="H113" s="6">
        <f>DynamicTable1[[#This Row],[Fecha de cierre]]-DynamicTable1[[#This Row],[Fecha de creación]]</f>
        <v>7</v>
      </c>
      <c r="I113" s="4">
        <f>IF(DynamicTable1[[#This Row],[Permite agregar una columna.]]&lt;=6,1,0)</f>
        <v>0</v>
      </c>
      <c r="J113" s="6" t="str">
        <f>TEXT(DynamicTable1[[#This Row],[Fecha de creación]],"DDDD")</f>
        <v>miércoles</v>
      </c>
      <c r="K113" s="6">
        <f>IF(DynamicTable1[[#This Row],[dia]]="Viernes",4,IF(DynamicTable1[[#This Row],[dia]]="Sábado",2,IF(DynamicTable1[[#This Row],[dia]]="Domingo",1,0)))</f>
        <v>0</v>
      </c>
    </row>
    <row r="114" spans="1:11" hidden="1" x14ac:dyDescent="0.25">
      <c r="A114" t="s">
        <v>258</v>
      </c>
      <c r="B114" t="s">
        <v>19</v>
      </c>
      <c r="C114" t="s">
        <v>12</v>
      </c>
      <c r="D114" t="s">
        <v>11</v>
      </c>
      <c r="E114" t="s">
        <v>259</v>
      </c>
      <c r="F114" s="8">
        <v>46128</v>
      </c>
      <c r="G114" s="8">
        <v>46135</v>
      </c>
      <c r="H114" s="6">
        <f>DynamicTable1[[#This Row],[Fecha de cierre]]-DynamicTable1[[#This Row],[Fecha de creación]]</f>
        <v>7</v>
      </c>
      <c r="I114" s="4">
        <f>IF(DynamicTable1[[#This Row],[Permite agregar una columna.]]&lt;=6,1,0)</f>
        <v>0</v>
      </c>
      <c r="J114" s="6" t="str">
        <f>TEXT(DynamicTable1[[#This Row],[Fecha de creación]],"DDDD")</f>
        <v>jueves</v>
      </c>
      <c r="K114" s="6">
        <f>IF(DynamicTable1[[#This Row],[dia]]="Viernes",4,IF(DynamicTable1[[#This Row],[dia]]="Sábado",2,IF(DynamicTable1[[#This Row],[dia]]="Domingo",1,0)))</f>
        <v>0</v>
      </c>
    </row>
    <row r="115" spans="1:11" x14ac:dyDescent="0.25">
      <c r="A115" t="s">
        <v>260</v>
      </c>
      <c r="B115" t="s">
        <v>13</v>
      </c>
      <c r="C115" t="s">
        <v>24</v>
      </c>
      <c r="D115" t="s">
        <v>11</v>
      </c>
      <c r="E115" t="s">
        <v>261</v>
      </c>
      <c r="F115" s="8">
        <v>46128</v>
      </c>
      <c r="G115" s="8">
        <v>46129</v>
      </c>
      <c r="H115" s="6">
        <f>DynamicTable1[[#This Row],[Fecha de cierre]]-DynamicTable1[[#This Row],[Fecha de creación]]</f>
        <v>1</v>
      </c>
      <c r="I115" s="4">
        <f>IF(DynamicTable1[[#This Row],[Permite agregar una columna.]]&lt;=6,1,0)</f>
        <v>1</v>
      </c>
      <c r="J115" s="6" t="str">
        <f>TEXT(DynamicTable1[[#This Row],[Fecha de creación]],"DDDD")</f>
        <v>jueves</v>
      </c>
      <c r="K115" s="6">
        <f>IF(DynamicTable1[[#This Row],[dia]]="Viernes",4,IF(DynamicTable1[[#This Row],[dia]]="Sábado",2,IF(DynamicTable1[[#This Row],[dia]]="Domingo",1,0)))</f>
        <v>0</v>
      </c>
    </row>
    <row r="116" spans="1:11" x14ac:dyDescent="0.25">
      <c r="A116" t="s">
        <v>262</v>
      </c>
      <c r="B116" t="s">
        <v>13</v>
      </c>
      <c r="C116" t="s">
        <v>24</v>
      </c>
      <c r="D116" t="s">
        <v>11</v>
      </c>
      <c r="E116" t="s">
        <v>263</v>
      </c>
      <c r="F116" s="8">
        <v>46128</v>
      </c>
      <c r="G116" s="8">
        <v>46129</v>
      </c>
      <c r="H116" s="6">
        <f>DynamicTable1[[#This Row],[Fecha de cierre]]-DynamicTable1[[#This Row],[Fecha de creación]]</f>
        <v>1</v>
      </c>
      <c r="I116" s="4">
        <f>IF(DynamicTable1[[#This Row],[Permite agregar una columna.]]&lt;=6,1,0)</f>
        <v>1</v>
      </c>
      <c r="J116" s="6" t="str">
        <f>TEXT(DynamicTable1[[#This Row],[Fecha de creación]],"DDDD")</f>
        <v>jueves</v>
      </c>
      <c r="K116" s="6">
        <f>IF(DynamicTable1[[#This Row],[dia]]="Viernes",4,IF(DynamicTable1[[#This Row],[dia]]="Sábado",2,IF(DynamicTable1[[#This Row],[dia]]="Domingo",1,0)))</f>
        <v>0</v>
      </c>
    </row>
    <row r="117" spans="1:11" hidden="1" x14ac:dyDescent="0.25">
      <c r="A117" t="s">
        <v>264</v>
      </c>
      <c r="B117" t="s">
        <v>13</v>
      </c>
      <c r="C117" t="s">
        <v>12</v>
      </c>
      <c r="D117" t="s">
        <v>11</v>
      </c>
      <c r="E117" t="s">
        <v>265</v>
      </c>
      <c r="F117" s="8">
        <v>46128</v>
      </c>
      <c r="G117" s="8">
        <v>46129</v>
      </c>
      <c r="H117" s="6">
        <f>DynamicTable1[[#This Row],[Fecha de cierre]]-DynamicTable1[[#This Row],[Fecha de creación]]</f>
        <v>1</v>
      </c>
      <c r="I117" s="4">
        <f>IF(DynamicTable1[[#This Row],[Permite agregar una columna.]]&lt;=6,1,0)</f>
        <v>1</v>
      </c>
      <c r="J117" s="6" t="str">
        <f>TEXT(DynamicTable1[[#This Row],[Fecha de creación]],"DDDD")</f>
        <v>jueves</v>
      </c>
      <c r="K117" s="6">
        <f>IF(DynamicTable1[[#This Row],[dia]]="Viernes",4,IF(DynamicTable1[[#This Row],[dia]]="Sábado",2,IF(DynamicTable1[[#This Row],[dia]]="Domingo",1,0)))</f>
        <v>0</v>
      </c>
    </row>
    <row r="118" spans="1:11" x14ac:dyDescent="0.25">
      <c r="A118" t="s">
        <v>266</v>
      </c>
      <c r="B118" t="s">
        <v>13</v>
      </c>
      <c r="C118" t="s">
        <v>24</v>
      </c>
      <c r="D118" t="s">
        <v>11</v>
      </c>
      <c r="E118" t="s">
        <v>267</v>
      </c>
      <c r="F118" s="8">
        <v>46128</v>
      </c>
      <c r="G118" s="8">
        <v>46129</v>
      </c>
      <c r="H118" s="6">
        <f>DynamicTable1[[#This Row],[Fecha de cierre]]-DynamicTable1[[#This Row],[Fecha de creación]]</f>
        <v>1</v>
      </c>
      <c r="I118" s="4">
        <f>IF(DynamicTable1[[#This Row],[Permite agregar una columna.]]&lt;=6,1,0)</f>
        <v>1</v>
      </c>
      <c r="J118" s="6" t="str">
        <f>TEXT(DynamicTable1[[#This Row],[Fecha de creación]],"DDDD")</f>
        <v>jueves</v>
      </c>
      <c r="K118" s="6">
        <f>IF(DynamicTable1[[#This Row],[dia]]="Viernes",4,IF(DynamicTable1[[#This Row],[dia]]="Sábado",2,IF(DynamicTable1[[#This Row],[dia]]="Domingo",1,0)))</f>
        <v>0</v>
      </c>
    </row>
    <row r="119" spans="1:11" x14ac:dyDescent="0.25">
      <c r="A119" t="s">
        <v>268</v>
      </c>
      <c r="B119" t="s">
        <v>13</v>
      </c>
      <c r="C119" t="s">
        <v>31</v>
      </c>
      <c r="D119" t="s">
        <v>11</v>
      </c>
      <c r="E119" t="s">
        <v>269</v>
      </c>
      <c r="F119" s="8">
        <v>46128</v>
      </c>
      <c r="G119" s="8">
        <v>46129</v>
      </c>
      <c r="H119" s="6">
        <f>DynamicTable1[[#This Row],[Fecha de cierre]]-DynamicTable1[[#This Row],[Fecha de creación]]</f>
        <v>1</v>
      </c>
      <c r="I119" s="4">
        <f>IF(DynamicTable1[[#This Row],[Permite agregar una columna.]]&lt;=6,1,0)</f>
        <v>1</v>
      </c>
      <c r="J119" s="6" t="str">
        <f>TEXT(DynamicTable1[[#This Row],[Fecha de creación]],"DDDD")</f>
        <v>jueves</v>
      </c>
      <c r="K119" s="6">
        <f>IF(DynamicTable1[[#This Row],[dia]]="Viernes",4,IF(DynamicTable1[[#This Row],[dia]]="Sábado",2,IF(DynamicTable1[[#This Row],[dia]]="Domingo",1,0)))</f>
        <v>0</v>
      </c>
    </row>
    <row r="120" spans="1:11" hidden="1" x14ac:dyDescent="0.25">
      <c r="A120" t="s">
        <v>270</v>
      </c>
      <c r="B120" t="s">
        <v>17</v>
      </c>
      <c r="C120" t="s">
        <v>20</v>
      </c>
      <c r="D120" t="s">
        <v>11</v>
      </c>
      <c r="E120" t="s">
        <v>271</v>
      </c>
      <c r="F120" s="8">
        <v>46129</v>
      </c>
      <c r="G120" s="8">
        <v>46134</v>
      </c>
      <c r="H120" s="6">
        <f>DynamicTable1[[#This Row],[Fecha de cierre]]-DynamicTable1[[#This Row],[Fecha de creación]]</f>
        <v>5</v>
      </c>
      <c r="I120" s="4">
        <f>IF(DynamicTable1[[#This Row],[Permite agregar una columna.]]&lt;=6,1,0)</f>
        <v>1</v>
      </c>
      <c r="J120" s="6" t="str">
        <f>TEXT(DynamicTable1[[#This Row],[Fecha de creación]],"DDDD")</f>
        <v>viernes</v>
      </c>
      <c r="K120" s="6">
        <f>IF(DynamicTable1[[#This Row],[dia]]="Viernes",4,IF(DynamicTable1[[#This Row],[dia]]="Sábado",2,IF(DynamicTable1[[#This Row],[dia]]="Domingo",1,0)))</f>
        <v>4</v>
      </c>
    </row>
    <row r="121" spans="1:11" hidden="1" x14ac:dyDescent="0.25">
      <c r="A121" t="s">
        <v>272</v>
      </c>
      <c r="B121" t="s">
        <v>23</v>
      </c>
      <c r="C121"/>
      <c r="D121" t="s">
        <v>11</v>
      </c>
      <c r="E121" t="s">
        <v>273</v>
      </c>
      <c r="F121" s="8">
        <v>46129</v>
      </c>
      <c r="G121" s="8">
        <v>46134</v>
      </c>
      <c r="H121" s="6">
        <f>DynamicTable1[[#This Row],[Fecha de cierre]]-DynamicTable1[[#This Row],[Fecha de creación]]</f>
        <v>5</v>
      </c>
      <c r="I121" s="4">
        <f>IF(DynamicTable1[[#This Row],[Permite agregar una columna.]]&lt;=6,1,0)</f>
        <v>1</v>
      </c>
      <c r="J121" s="6" t="str">
        <f>TEXT(DynamicTable1[[#This Row],[Fecha de creación]],"DDDD")</f>
        <v>viernes</v>
      </c>
      <c r="K121" s="6">
        <f>IF(DynamicTable1[[#This Row],[dia]]="Viernes",4,IF(DynamicTable1[[#This Row],[dia]]="Sábado",2,IF(DynamicTable1[[#This Row],[dia]]="Domingo",1,0)))</f>
        <v>4</v>
      </c>
    </row>
    <row r="122" spans="1:11" hidden="1" x14ac:dyDescent="0.25">
      <c r="A122" t="s">
        <v>274</v>
      </c>
      <c r="B122" t="s">
        <v>17</v>
      </c>
      <c r="C122" t="s">
        <v>24</v>
      </c>
      <c r="D122" t="s">
        <v>21</v>
      </c>
      <c r="E122" t="s">
        <v>275</v>
      </c>
      <c r="F122" s="8">
        <v>46129</v>
      </c>
      <c r="G122" s="8"/>
      <c r="H122" s="6">
        <f>DynamicTable1[[#This Row],[Fecha de cierre]]-DynamicTable1[[#This Row],[Fecha de creación]]</f>
        <v>-46129</v>
      </c>
      <c r="I122" s="4">
        <f>IF(DynamicTable1[[#This Row],[Permite agregar una columna.]]&lt;=6,1,0)</f>
        <v>1</v>
      </c>
      <c r="J122" s="6" t="str">
        <f>TEXT(DynamicTable1[[#This Row],[Fecha de creación]],"DDDD")</f>
        <v>viernes</v>
      </c>
      <c r="K122" s="6">
        <f>IF(DynamicTable1[[#This Row],[dia]]="Viernes",4,IF(DynamicTable1[[#This Row],[dia]]="Sábado",2,IF(DynamicTable1[[#This Row],[dia]]="Domingo",1,0)))</f>
        <v>4</v>
      </c>
    </row>
    <row r="123" spans="1:11" hidden="1" x14ac:dyDescent="0.25">
      <c r="A123" t="s">
        <v>276</v>
      </c>
      <c r="B123" t="s">
        <v>13</v>
      </c>
      <c r="C123"/>
      <c r="D123" t="s">
        <v>11</v>
      </c>
      <c r="E123" t="s">
        <v>277</v>
      </c>
      <c r="F123" s="8">
        <v>46129</v>
      </c>
      <c r="G123" s="8">
        <v>46134</v>
      </c>
      <c r="H123" s="6">
        <f>DynamicTable1[[#This Row],[Fecha de cierre]]-DynamicTable1[[#This Row],[Fecha de creación]]</f>
        <v>5</v>
      </c>
      <c r="I123" s="4">
        <f>IF(DynamicTable1[[#This Row],[Permite agregar una columna.]]&lt;=6,1,0)</f>
        <v>1</v>
      </c>
      <c r="J123" s="6" t="str">
        <f>TEXT(DynamicTable1[[#This Row],[Fecha de creación]],"DDDD")</f>
        <v>viernes</v>
      </c>
      <c r="K123" s="6">
        <f>IF(DynamicTable1[[#This Row],[dia]]="Viernes",4,IF(DynamicTable1[[#This Row],[dia]]="Sábado",2,IF(DynamicTable1[[#This Row],[dia]]="Domingo",1,0)))</f>
        <v>4</v>
      </c>
    </row>
    <row r="124" spans="1:11" hidden="1" x14ac:dyDescent="0.25">
      <c r="A124" t="s">
        <v>278</v>
      </c>
      <c r="B124" t="s">
        <v>19</v>
      </c>
      <c r="C124"/>
      <c r="D124" t="s">
        <v>11</v>
      </c>
      <c r="E124" t="s">
        <v>279</v>
      </c>
      <c r="F124" s="8">
        <v>46129</v>
      </c>
      <c r="G124" s="8">
        <v>46129</v>
      </c>
      <c r="H124" s="6">
        <f>DynamicTable1[[#This Row],[Fecha de cierre]]-DynamicTable1[[#This Row],[Fecha de creación]]</f>
        <v>0</v>
      </c>
      <c r="I124" s="4">
        <f>IF(DynamicTable1[[#This Row],[Permite agregar una columna.]]&lt;=6,1,0)</f>
        <v>1</v>
      </c>
      <c r="J124" s="6" t="str">
        <f>TEXT(DynamicTable1[[#This Row],[Fecha de creación]],"DDDD")</f>
        <v>viernes</v>
      </c>
      <c r="K124" s="6">
        <f>IF(DynamicTable1[[#This Row],[dia]]="Viernes",4,IF(DynamicTable1[[#This Row],[dia]]="Sábado",2,IF(DynamicTable1[[#This Row],[dia]]="Domingo",1,0)))</f>
        <v>4</v>
      </c>
    </row>
    <row r="125" spans="1:11" x14ac:dyDescent="0.25">
      <c r="A125" t="s">
        <v>280</v>
      </c>
      <c r="B125" t="s">
        <v>18</v>
      </c>
      <c r="C125" t="s">
        <v>24</v>
      </c>
      <c r="D125" t="s">
        <v>11</v>
      </c>
      <c r="E125" t="s">
        <v>281</v>
      </c>
      <c r="F125" s="8">
        <v>46129</v>
      </c>
      <c r="G125" s="8">
        <v>46134</v>
      </c>
      <c r="H125" s="6">
        <f>DynamicTable1[[#This Row],[Fecha de cierre]]-DynamicTable1[[#This Row],[Fecha de creación]]</f>
        <v>5</v>
      </c>
      <c r="I125" s="4">
        <f>IF(DynamicTable1[[#This Row],[Permite agregar una columna.]]&lt;=6,1,0)</f>
        <v>1</v>
      </c>
      <c r="J125" s="6" t="str">
        <f>TEXT(DynamicTable1[[#This Row],[Fecha de creación]],"DDDD")</f>
        <v>viernes</v>
      </c>
      <c r="K125" s="6">
        <f>IF(DynamicTable1[[#This Row],[dia]]="Viernes",4,IF(DynamicTable1[[#This Row],[dia]]="Sábado",2,IF(DynamicTable1[[#This Row],[dia]]="Domingo",1,0)))</f>
        <v>4</v>
      </c>
    </row>
    <row r="126" spans="1:11" x14ac:dyDescent="0.25">
      <c r="A126" t="s">
        <v>282</v>
      </c>
      <c r="B126" t="s">
        <v>18</v>
      </c>
      <c r="C126" t="s">
        <v>24</v>
      </c>
      <c r="D126" t="s">
        <v>11</v>
      </c>
      <c r="E126" t="s">
        <v>283</v>
      </c>
      <c r="F126" s="8">
        <v>46129</v>
      </c>
      <c r="G126" s="8">
        <v>46134</v>
      </c>
      <c r="H126" s="6">
        <f>DynamicTable1[[#This Row],[Fecha de cierre]]-DynamicTable1[[#This Row],[Fecha de creación]]</f>
        <v>5</v>
      </c>
      <c r="I126" s="4">
        <f>IF(DynamicTable1[[#This Row],[Permite agregar una columna.]]&lt;=6,1,0)</f>
        <v>1</v>
      </c>
      <c r="J126" s="6" t="str">
        <f>TEXT(DynamicTable1[[#This Row],[Fecha de creación]],"DDDD")</f>
        <v>viernes</v>
      </c>
      <c r="K126" s="6">
        <f>IF(DynamicTable1[[#This Row],[dia]]="Viernes",4,IF(DynamicTable1[[#This Row],[dia]]="Sábado",2,IF(DynamicTable1[[#This Row],[dia]]="Domingo",1,0)))</f>
        <v>4</v>
      </c>
    </row>
    <row r="127" spans="1:11" x14ac:dyDescent="0.25">
      <c r="A127" t="s">
        <v>284</v>
      </c>
      <c r="B127" t="s">
        <v>18</v>
      </c>
      <c r="C127" t="s">
        <v>24</v>
      </c>
      <c r="D127" t="s">
        <v>11</v>
      </c>
      <c r="E127" t="s">
        <v>285</v>
      </c>
      <c r="F127" s="8">
        <v>46129</v>
      </c>
      <c r="G127" s="8">
        <v>46142</v>
      </c>
      <c r="H127" s="6">
        <f>DynamicTable1[[#This Row],[Fecha de cierre]]-DynamicTable1[[#This Row],[Fecha de creación]]</f>
        <v>13</v>
      </c>
      <c r="I127" s="4">
        <f>IF(DynamicTable1[[#This Row],[Permite agregar una columna.]]&lt;=6,1,0)</f>
        <v>0</v>
      </c>
      <c r="J127" s="6" t="str">
        <f>TEXT(DynamicTable1[[#This Row],[Fecha de creación]],"DDDD")</f>
        <v>viernes</v>
      </c>
      <c r="K127" s="6">
        <f>IF(DynamicTable1[[#This Row],[dia]]="Viernes",4,IF(DynamicTable1[[#This Row],[dia]]="Sábado",2,IF(DynamicTable1[[#This Row],[dia]]="Domingo",1,0)))</f>
        <v>4</v>
      </c>
    </row>
    <row r="128" spans="1:11" x14ac:dyDescent="0.25">
      <c r="A128" t="s">
        <v>286</v>
      </c>
      <c r="B128" t="s">
        <v>18</v>
      </c>
      <c r="C128" t="s">
        <v>24</v>
      </c>
      <c r="D128" t="s">
        <v>11</v>
      </c>
      <c r="E128" t="s">
        <v>287</v>
      </c>
      <c r="F128" s="8">
        <v>46129</v>
      </c>
      <c r="G128" s="8">
        <v>46133</v>
      </c>
      <c r="H128" s="6">
        <f>DynamicTable1[[#This Row],[Fecha de cierre]]-DynamicTable1[[#This Row],[Fecha de creación]]</f>
        <v>4</v>
      </c>
      <c r="I128" s="4">
        <f>IF(DynamicTable1[[#This Row],[Permite agregar una columna.]]&lt;=6,1,0)</f>
        <v>1</v>
      </c>
      <c r="J128" s="6" t="str">
        <f>TEXT(DynamicTable1[[#This Row],[Fecha de creación]],"DDDD")</f>
        <v>viernes</v>
      </c>
      <c r="K128" s="6">
        <f>IF(DynamicTable1[[#This Row],[dia]]="Viernes",4,IF(DynamicTable1[[#This Row],[dia]]="Sábado",2,IF(DynamicTable1[[#This Row],[dia]]="Domingo",1,0)))</f>
        <v>4</v>
      </c>
    </row>
    <row r="129" spans="1:11" x14ac:dyDescent="0.25">
      <c r="A129" t="s">
        <v>288</v>
      </c>
      <c r="B129" t="s">
        <v>14</v>
      </c>
      <c r="C129" t="s">
        <v>24</v>
      </c>
      <c r="D129" t="s">
        <v>11</v>
      </c>
      <c r="E129" t="s">
        <v>289</v>
      </c>
      <c r="F129" s="8">
        <v>46131</v>
      </c>
      <c r="G129" s="8">
        <v>46132</v>
      </c>
      <c r="H129" s="6">
        <f>DynamicTable1[[#This Row],[Fecha de cierre]]-DynamicTable1[[#This Row],[Fecha de creación]]</f>
        <v>1</v>
      </c>
      <c r="I129" s="4">
        <f>IF(DynamicTable1[[#This Row],[Permite agregar una columna.]]&lt;=6,1,0)</f>
        <v>1</v>
      </c>
      <c r="J129" s="6" t="str">
        <f>TEXT(DynamicTable1[[#This Row],[Fecha de creación]],"DDDD")</f>
        <v>domingo</v>
      </c>
      <c r="K129" s="6">
        <f>IF(DynamicTable1[[#This Row],[dia]]="Viernes",4,IF(DynamicTable1[[#This Row],[dia]]="Sábado",2,IF(DynamicTable1[[#This Row],[dia]]="Domingo",1,0)))</f>
        <v>1</v>
      </c>
    </row>
    <row r="130" spans="1:11" x14ac:dyDescent="0.25">
      <c r="A130" t="s">
        <v>290</v>
      </c>
      <c r="B130" t="s">
        <v>17</v>
      </c>
      <c r="C130" t="s">
        <v>24</v>
      </c>
      <c r="D130" t="s">
        <v>11</v>
      </c>
      <c r="E130" t="s">
        <v>291</v>
      </c>
      <c r="F130" s="8">
        <v>46132</v>
      </c>
      <c r="G130" s="8">
        <v>46132</v>
      </c>
      <c r="H130" s="6">
        <f>DynamicTable1[[#This Row],[Fecha de cierre]]-DynamicTable1[[#This Row],[Fecha de creación]]</f>
        <v>0</v>
      </c>
      <c r="I130" s="4">
        <f>IF(DynamicTable1[[#This Row],[Permite agregar una columna.]]&lt;=6,1,0)</f>
        <v>1</v>
      </c>
      <c r="J130" s="6" t="str">
        <f>TEXT(DynamicTable1[[#This Row],[Fecha de creación]],"DDDD")</f>
        <v>lunes</v>
      </c>
      <c r="K130" s="6">
        <f>IF(DynamicTable1[[#This Row],[dia]]="Viernes",4,IF(DynamicTable1[[#This Row],[dia]]="Sábado",2,IF(DynamicTable1[[#This Row],[dia]]="Domingo",1,0)))</f>
        <v>0</v>
      </c>
    </row>
    <row r="131" spans="1:11" x14ac:dyDescent="0.25">
      <c r="A131" t="s">
        <v>292</v>
      </c>
      <c r="B131" t="s">
        <v>13</v>
      </c>
      <c r="C131" t="s">
        <v>24</v>
      </c>
      <c r="D131" t="s">
        <v>11</v>
      </c>
      <c r="E131" t="s">
        <v>293</v>
      </c>
      <c r="F131" s="8">
        <v>46132</v>
      </c>
      <c r="G131" s="8">
        <v>46132</v>
      </c>
      <c r="H131" s="6">
        <f>DynamicTable1[[#This Row],[Fecha de cierre]]-DynamicTable1[[#This Row],[Fecha de creación]]</f>
        <v>0</v>
      </c>
      <c r="I131" s="4">
        <f>IF(DynamicTable1[[#This Row],[Permite agregar una columna.]]&lt;=6,1,0)</f>
        <v>1</v>
      </c>
      <c r="J131" s="6" t="str">
        <f>TEXT(DynamicTable1[[#This Row],[Fecha de creación]],"DDDD")</f>
        <v>lunes</v>
      </c>
      <c r="K131" s="6">
        <f>IF(DynamicTable1[[#This Row],[dia]]="Viernes",4,IF(DynamicTable1[[#This Row],[dia]]="Sábado",2,IF(DynamicTable1[[#This Row],[dia]]="Domingo",1,0)))</f>
        <v>0</v>
      </c>
    </row>
    <row r="132" spans="1:11" x14ac:dyDescent="0.25">
      <c r="A132" t="s">
        <v>294</v>
      </c>
      <c r="B132" t="s">
        <v>17</v>
      </c>
      <c r="C132" t="s">
        <v>24</v>
      </c>
      <c r="D132" t="s">
        <v>11</v>
      </c>
      <c r="E132" t="s">
        <v>295</v>
      </c>
      <c r="F132" s="8">
        <v>46132</v>
      </c>
      <c r="G132" s="8">
        <v>46132</v>
      </c>
      <c r="H132" s="6">
        <f>DynamicTable1[[#This Row],[Fecha de cierre]]-DynamicTable1[[#This Row],[Fecha de creación]]</f>
        <v>0</v>
      </c>
      <c r="I132" s="4">
        <f>IF(DynamicTable1[[#This Row],[Permite agregar una columna.]]&lt;=6,1,0)</f>
        <v>1</v>
      </c>
      <c r="J132" s="6" t="str">
        <f>TEXT(DynamicTable1[[#This Row],[Fecha de creación]],"DDDD")</f>
        <v>lunes</v>
      </c>
      <c r="K132" s="6">
        <f>IF(DynamicTable1[[#This Row],[dia]]="Viernes",4,IF(DynamicTable1[[#This Row],[dia]]="Sábado",2,IF(DynamicTable1[[#This Row],[dia]]="Domingo",1,0)))</f>
        <v>0</v>
      </c>
    </row>
    <row r="133" spans="1:11" x14ac:dyDescent="0.25">
      <c r="A133" t="s">
        <v>296</v>
      </c>
      <c r="B133" t="s">
        <v>17</v>
      </c>
      <c r="C133" t="s">
        <v>24</v>
      </c>
      <c r="D133" t="s">
        <v>11</v>
      </c>
      <c r="E133" t="s">
        <v>297</v>
      </c>
      <c r="F133" s="8">
        <v>46132</v>
      </c>
      <c r="G133" s="8">
        <v>46132</v>
      </c>
      <c r="H133" s="6">
        <f>DynamicTable1[[#This Row],[Fecha de cierre]]-DynamicTable1[[#This Row],[Fecha de creación]]</f>
        <v>0</v>
      </c>
      <c r="I133" s="4">
        <f>IF(DynamicTable1[[#This Row],[Permite agregar una columna.]]&lt;=6,1,0)</f>
        <v>1</v>
      </c>
      <c r="J133" s="6" t="str">
        <f>TEXT(DynamicTable1[[#This Row],[Fecha de creación]],"DDDD")</f>
        <v>lunes</v>
      </c>
      <c r="K133" s="6">
        <f>IF(DynamicTable1[[#This Row],[dia]]="Viernes",4,IF(DynamicTable1[[#This Row],[dia]]="Sábado",2,IF(DynamicTable1[[#This Row],[dia]]="Domingo",1,0)))</f>
        <v>0</v>
      </c>
    </row>
    <row r="134" spans="1:11" x14ac:dyDescent="0.25">
      <c r="A134" t="s">
        <v>298</v>
      </c>
      <c r="B134" t="s">
        <v>18</v>
      </c>
      <c r="C134" t="s">
        <v>24</v>
      </c>
      <c r="D134" t="s">
        <v>11</v>
      </c>
      <c r="E134" t="s">
        <v>299</v>
      </c>
      <c r="F134" s="8">
        <v>46132</v>
      </c>
      <c r="G134" s="8">
        <v>46134</v>
      </c>
      <c r="H134" s="6">
        <f>DynamicTable1[[#This Row],[Fecha de cierre]]-DynamicTable1[[#This Row],[Fecha de creación]]</f>
        <v>2</v>
      </c>
      <c r="I134" s="4">
        <f>IF(DynamicTable1[[#This Row],[Permite agregar una columna.]]&lt;=6,1,0)</f>
        <v>1</v>
      </c>
      <c r="J134" s="6" t="str">
        <f>TEXT(DynamicTable1[[#This Row],[Fecha de creación]],"DDDD")</f>
        <v>lunes</v>
      </c>
      <c r="K134" s="6">
        <f>IF(DynamicTable1[[#This Row],[dia]]="Viernes",4,IF(DynamicTable1[[#This Row],[dia]]="Sábado",2,IF(DynamicTable1[[#This Row],[dia]]="Domingo",1,0)))</f>
        <v>0</v>
      </c>
    </row>
    <row r="135" spans="1:11" hidden="1" x14ac:dyDescent="0.25">
      <c r="A135" t="s">
        <v>300</v>
      </c>
      <c r="B135" t="s">
        <v>19</v>
      </c>
      <c r="C135" t="s">
        <v>20</v>
      </c>
      <c r="D135" t="s">
        <v>11</v>
      </c>
      <c r="E135" t="s">
        <v>301</v>
      </c>
      <c r="F135" s="8">
        <v>46132</v>
      </c>
      <c r="G135" s="8">
        <v>46134</v>
      </c>
      <c r="H135" s="6">
        <f>DynamicTable1[[#This Row],[Fecha de cierre]]-DynamicTable1[[#This Row],[Fecha de creación]]</f>
        <v>2</v>
      </c>
      <c r="I135" s="4">
        <f>IF(DynamicTable1[[#This Row],[Permite agregar una columna.]]&lt;=6,1,0)</f>
        <v>1</v>
      </c>
      <c r="J135" s="6" t="str">
        <f>TEXT(DynamicTable1[[#This Row],[Fecha de creación]],"DDDD")</f>
        <v>lunes</v>
      </c>
      <c r="K135" s="6">
        <f>IF(DynamicTable1[[#This Row],[dia]]="Viernes",4,IF(DynamicTable1[[#This Row],[dia]]="Sábado",2,IF(DynamicTable1[[#This Row],[dia]]="Domingo",1,0)))</f>
        <v>0</v>
      </c>
    </row>
    <row r="136" spans="1:11" hidden="1" x14ac:dyDescent="0.25">
      <c r="A136" t="s">
        <v>302</v>
      </c>
      <c r="B136" t="s">
        <v>14</v>
      </c>
      <c r="C136" t="s">
        <v>12</v>
      </c>
      <c r="D136" t="s">
        <v>11</v>
      </c>
      <c r="E136" t="s">
        <v>303</v>
      </c>
      <c r="F136" s="8">
        <v>46132</v>
      </c>
      <c r="G136" s="8">
        <v>46136</v>
      </c>
      <c r="H136" s="6">
        <f>DynamicTable1[[#This Row],[Fecha de cierre]]-DynamicTable1[[#This Row],[Fecha de creación]]</f>
        <v>4</v>
      </c>
      <c r="I136" s="4">
        <f>IF(DynamicTable1[[#This Row],[Permite agregar una columna.]]&lt;=6,1,0)</f>
        <v>1</v>
      </c>
      <c r="J136" s="6" t="str">
        <f>TEXT(DynamicTable1[[#This Row],[Fecha de creación]],"DDDD")</f>
        <v>lunes</v>
      </c>
      <c r="K136" s="6">
        <f>IF(DynamicTable1[[#This Row],[dia]]="Viernes",4,IF(DynamicTable1[[#This Row],[dia]]="Sábado",2,IF(DynamicTable1[[#This Row],[dia]]="Domingo",1,0)))</f>
        <v>0</v>
      </c>
    </row>
    <row r="137" spans="1:11" x14ac:dyDescent="0.25">
      <c r="A137" t="s">
        <v>304</v>
      </c>
      <c r="B137" t="s">
        <v>18</v>
      </c>
      <c r="C137" t="s">
        <v>24</v>
      </c>
      <c r="D137" t="s">
        <v>11</v>
      </c>
      <c r="E137" t="s">
        <v>305</v>
      </c>
      <c r="F137" s="8">
        <v>46132</v>
      </c>
      <c r="G137" s="8">
        <v>46134</v>
      </c>
      <c r="H137" s="6">
        <f>DynamicTable1[[#This Row],[Fecha de cierre]]-DynamicTable1[[#This Row],[Fecha de creación]]</f>
        <v>2</v>
      </c>
      <c r="I137" s="4">
        <f>IF(DynamicTable1[[#This Row],[Permite agregar una columna.]]&lt;=6,1,0)</f>
        <v>1</v>
      </c>
      <c r="J137" s="6" t="str">
        <f>TEXT(DynamicTable1[[#This Row],[Fecha de creación]],"DDDD")</f>
        <v>lunes</v>
      </c>
      <c r="K137" s="6">
        <f>IF(DynamicTable1[[#This Row],[dia]]="Viernes",4,IF(DynamicTable1[[#This Row],[dia]]="Sábado",2,IF(DynamicTable1[[#This Row],[dia]]="Domingo",1,0)))</f>
        <v>0</v>
      </c>
    </row>
    <row r="138" spans="1:11" hidden="1" x14ac:dyDescent="0.25">
      <c r="A138" t="s">
        <v>306</v>
      </c>
      <c r="B138" t="s">
        <v>13</v>
      </c>
      <c r="C138"/>
      <c r="D138" t="s">
        <v>11</v>
      </c>
      <c r="E138" t="s">
        <v>307</v>
      </c>
      <c r="F138" s="8">
        <v>46132</v>
      </c>
      <c r="G138" s="8">
        <v>46134</v>
      </c>
      <c r="H138" s="6">
        <f>DynamicTable1[[#This Row],[Fecha de cierre]]-DynamicTable1[[#This Row],[Fecha de creación]]</f>
        <v>2</v>
      </c>
      <c r="I138" s="4">
        <f>IF(DynamicTable1[[#This Row],[Permite agregar una columna.]]&lt;=6,1,0)</f>
        <v>1</v>
      </c>
      <c r="J138" s="6" t="str">
        <f>TEXT(DynamicTable1[[#This Row],[Fecha de creación]],"DDDD")</f>
        <v>lunes</v>
      </c>
      <c r="K138" s="6">
        <f>IF(DynamicTable1[[#This Row],[dia]]="Viernes",4,IF(DynamicTable1[[#This Row],[dia]]="Sábado",2,IF(DynamicTable1[[#This Row],[dia]]="Domingo",1,0)))</f>
        <v>0</v>
      </c>
    </row>
    <row r="139" spans="1:11" hidden="1" x14ac:dyDescent="0.25">
      <c r="A139" t="s">
        <v>308</v>
      </c>
      <c r="B139" t="s">
        <v>13</v>
      </c>
      <c r="C139" t="s">
        <v>20</v>
      </c>
      <c r="D139" t="s">
        <v>11</v>
      </c>
      <c r="E139" t="s">
        <v>309</v>
      </c>
      <c r="F139" s="8">
        <v>46132</v>
      </c>
      <c r="G139" s="8">
        <v>46134</v>
      </c>
      <c r="H139" s="6">
        <f>DynamicTable1[[#This Row],[Fecha de cierre]]-DynamicTable1[[#This Row],[Fecha de creación]]</f>
        <v>2</v>
      </c>
      <c r="I139" s="4">
        <f>IF(DynamicTable1[[#This Row],[Permite agregar una columna.]]&lt;=6,1,0)</f>
        <v>1</v>
      </c>
      <c r="J139" s="6" t="str">
        <f>TEXT(DynamicTable1[[#This Row],[Fecha de creación]],"DDDD")</f>
        <v>lunes</v>
      </c>
      <c r="K139" s="6">
        <f>IF(DynamicTable1[[#This Row],[dia]]="Viernes",4,IF(DynamicTable1[[#This Row],[dia]]="Sábado",2,IF(DynamicTable1[[#This Row],[dia]]="Domingo",1,0)))</f>
        <v>0</v>
      </c>
    </row>
    <row r="140" spans="1:11" x14ac:dyDescent="0.25">
      <c r="A140" t="s">
        <v>310</v>
      </c>
      <c r="B140" t="s">
        <v>29</v>
      </c>
      <c r="C140" t="s">
        <v>24</v>
      </c>
      <c r="D140" t="s">
        <v>11</v>
      </c>
      <c r="E140" t="s">
        <v>311</v>
      </c>
      <c r="F140" s="8">
        <v>46132</v>
      </c>
      <c r="G140" s="8">
        <v>46136</v>
      </c>
      <c r="H140" s="6">
        <f>DynamicTable1[[#This Row],[Fecha de cierre]]-DynamicTable1[[#This Row],[Fecha de creación]]</f>
        <v>4</v>
      </c>
      <c r="I140" s="4">
        <f>IF(DynamicTable1[[#This Row],[Permite agregar una columna.]]&lt;=6,1,0)</f>
        <v>1</v>
      </c>
      <c r="J140" s="6" t="str">
        <f>TEXT(DynamicTable1[[#This Row],[Fecha de creación]],"DDDD")</f>
        <v>lunes</v>
      </c>
      <c r="K140" s="6">
        <f>IF(DynamicTable1[[#This Row],[dia]]="Viernes",4,IF(DynamicTable1[[#This Row],[dia]]="Sábado",2,IF(DynamicTable1[[#This Row],[dia]]="Domingo",1,0)))</f>
        <v>0</v>
      </c>
    </row>
    <row r="141" spans="1:11" x14ac:dyDescent="0.25">
      <c r="A141" t="s">
        <v>312</v>
      </c>
      <c r="B141" t="s">
        <v>17</v>
      </c>
      <c r="C141" t="s">
        <v>24</v>
      </c>
      <c r="D141" t="s">
        <v>11</v>
      </c>
      <c r="E141" t="s">
        <v>313</v>
      </c>
      <c r="F141" s="8">
        <v>46132</v>
      </c>
      <c r="G141" s="8">
        <v>46132</v>
      </c>
      <c r="H141" s="6">
        <f>DynamicTable1[[#This Row],[Fecha de cierre]]-DynamicTable1[[#This Row],[Fecha de creación]]</f>
        <v>0</v>
      </c>
      <c r="I141" s="4">
        <f>IF(DynamicTable1[[#This Row],[Permite agregar una columna.]]&lt;=6,1,0)</f>
        <v>1</v>
      </c>
      <c r="J141" s="6" t="str">
        <f>TEXT(DynamicTable1[[#This Row],[Fecha de creación]],"DDDD")</f>
        <v>lunes</v>
      </c>
      <c r="K141" s="6">
        <f>IF(DynamicTable1[[#This Row],[dia]]="Viernes",4,IF(DynamicTable1[[#This Row],[dia]]="Sábado",2,IF(DynamicTable1[[#This Row],[dia]]="Domingo",1,0)))</f>
        <v>0</v>
      </c>
    </row>
    <row r="142" spans="1:11" hidden="1" x14ac:dyDescent="0.25">
      <c r="A142" t="s">
        <v>314</v>
      </c>
      <c r="B142" t="s">
        <v>15</v>
      </c>
      <c r="C142"/>
      <c r="D142" t="s">
        <v>11</v>
      </c>
      <c r="E142" t="s">
        <v>315</v>
      </c>
      <c r="F142" s="8">
        <v>46132</v>
      </c>
      <c r="G142" s="8">
        <v>46134</v>
      </c>
      <c r="H142" s="6">
        <f>DynamicTable1[[#This Row],[Fecha de cierre]]-DynamicTable1[[#This Row],[Fecha de creación]]</f>
        <v>2</v>
      </c>
      <c r="I142" s="4">
        <f>IF(DynamicTable1[[#This Row],[Permite agregar una columna.]]&lt;=6,1,0)</f>
        <v>1</v>
      </c>
      <c r="J142" s="6" t="str">
        <f>TEXT(DynamicTable1[[#This Row],[Fecha de creación]],"DDDD")</f>
        <v>lunes</v>
      </c>
      <c r="K142" s="6">
        <f>IF(DynamicTable1[[#This Row],[dia]]="Viernes",4,IF(DynamicTable1[[#This Row],[dia]]="Sábado",2,IF(DynamicTable1[[#This Row],[dia]]="Domingo",1,0)))</f>
        <v>0</v>
      </c>
    </row>
    <row r="143" spans="1:11" hidden="1" x14ac:dyDescent="0.25">
      <c r="A143" t="s">
        <v>316</v>
      </c>
      <c r="B143" t="s">
        <v>19</v>
      </c>
      <c r="C143" t="s">
        <v>20</v>
      </c>
      <c r="D143" t="s">
        <v>11</v>
      </c>
      <c r="E143" t="s">
        <v>317</v>
      </c>
      <c r="F143" s="8">
        <v>46132</v>
      </c>
      <c r="G143" s="8">
        <v>46134</v>
      </c>
      <c r="H143" s="6">
        <f>DynamicTable1[[#This Row],[Fecha de cierre]]-DynamicTable1[[#This Row],[Fecha de creación]]</f>
        <v>2</v>
      </c>
      <c r="I143" s="4">
        <f>IF(DynamicTable1[[#This Row],[Permite agregar una columna.]]&lt;=6,1,0)</f>
        <v>1</v>
      </c>
      <c r="J143" s="6" t="str">
        <f>TEXT(DynamicTable1[[#This Row],[Fecha de creación]],"DDDD")</f>
        <v>lunes</v>
      </c>
      <c r="K143" s="6">
        <f>IF(DynamicTable1[[#This Row],[dia]]="Viernes",4,IF(DynamicTable1[[#This Row],[dia]]="Sábado",2,IF(DynamicTable1[[#This Row],[dia]]="Domingo",1,0)))</f>
        <v>0</v>
      </c>
    </row>
    <row r="144" spans="1:11" x14ac:dyDescent="0.25">
      <c r="A144" t="s">
        <v>318</v>
      </c>
      <c r="B144" t="s">
        <v>14</v>
      </c>
      <c r="C144" t="s">
        <v>24</v>
      </c>
      <c r="D144" t="s">
        <v>11</v>
      </c>
      <c r="E144" t="s">
        <v>319</v>
      </c>
      <c r="F144" s="8">
        <v>46132</v>
      </c>
      <c r="G144" s="8">
        <v>46134</v>
      </c>
      <c r="H144" s="6">
        <f>DynamicTable1[[#This Row],[Fecha de cierre]]-DynamicTable1[[#This Row],[Fecha de creación]]</f>
        <v>2</v>
      </c>
      <c r="I144" s="4">
        <f>IF(DynamicTable1[[#This Row],[Permite agregar una columna.]]&lt;=6,1,0)</f>
        <v>1</v>
      </c>
      <c r="J144" s="6" t="str">
        <f>TEXT(DynamicTable1[[#This Row],[Fecha de creación]],"DDDD")</f>
        <v>lunes</v>
      </c>
      <c r="K144" s="6">
        <f>IF(DynamicTable1[[#This Row],[dia]]="Viernes",4,IF(DynamicTable1[[#This Row],[dia]]="Sábado",2,IF(DynamicTable1[[#This Row],[dia]]="Domingo",1,0)))</f>
        <v>0</v>
      </c>
    </row>
    <row r="145" spans="1:11" x14ac:dyDescent="0.25">
      <c r="A145" t="s">
        <v>320</v>
      </c>
      <c r="B145" t="s">
        <v>17</v>
      </c>
      <c r="C145" t="s">
        <v>24</v>
      </c>
      <c r="D145" t="s">
        <v>11</v>
      </c>
      <c r="E145" t="s">
        <v>321</v>
      </c>
      <c r="F145" s="8">
        <v>46132</v>
      </c>
      <c r="G145" s="8">
        <v>46132</v>
      </c>
      <c r="H145" s="6">
        <f>DynamicTable1[[#This Row],[Fecha de cierre]]-DynamicTable1[[#This Row],[Fecha de creación]]</f>
        <v>0</v>
      </c>
      <c r="I145" s="4">
        <f>IF(DynamicTable1[[#This Row],[Permite agregar una columna.]]&lt;=6,1,0)</f>
        <v>1</v>
      </c>
      <c r="J145" s="6" t="str">
        <f>TEXT(DynamicTable1[[#This Row],[Fecha de creación]],"DDDD")</f>
        <v>lunes</v>
      </c>
      <c r="K145" s="6">
        <f>IF(DynamicTable1[[#This Row],[dia]]="Viernes",4,IF(DynamicTable1[[#This Row],[dia]]="Sábado",2,IF(DynamicTable1[[#This Row],[dia]]="Domingo",1,0)))</f>
        <v>0</v>
      </c>
    </row>
    <row r="146" spans="1:11" hidden="1" x14ac:dyDescent="0.25">
      <c r="A146" t="s">
        <v>322</v>
      </c>
      <c r="B146" t="s">
        <v>19</v>
      </c>
      <c r="C146" t="s">
        <v>12</v>
      </c>
      <c r="D146" t="s">
        <v>11</v>
      </c>
      <c r="E146" t="s">
        <v>323</v>
      </c>
      <c r="F146" s="8">
        <v>46132</v>
      </c>
      <c r="G146" s="8">
        <v>46135</v>
      </c>
      <c r="H146" s="6">
        <f>DynamicTable1[[#This Row],[Fecha de cierre]]-DynamicTable1[[#This Row],[Fecha de creación]]</f>
        <v>3</v>
      </c>
      <c r="I146" s="4">
        <f>IF(DynamicTable1[[#This Row],[Permite agregar una columna.]]&lt;=6,1,0)</f>
        <v>1</v>
      </c>
      <c r="J146" s="6" t="str">
        <f>TEXT(DynamicTable1[[#This Row],[Fecha de creación]],"DDDD")</f>
        <v>lunes</v>
      </c>
      <c r="K146" s="6">
        <f>IF(DynamicTable1[[#This Row],[dia]]="Viernes",4,IF(DynamicTable1[[#This Row],[dia]]="Sábado",2,IF(DynamicTable1[[#This Row],[dia]]="Domingo",1,0)))</f>
        <v>0</v>
      </c>
    </row>
    <row r="147" spans="1:11" hidden="1" x14ac:dyDescent="0.25">
      <c r="A147" t="s">
        <v>324</v>
      </c>
      <c r="B147" t="s">
        <v>19</v>
      </c>
      <c r="C147" t="s">
        <v>20</v>
      </c>
      <c r="D147" t="s">
        <v>11</v>
      </c>
      <c r="E147" t="s">
        <v>325</v>
      </c>
      <c r="F147" s="8">
        <v>46132</v>
      </c>
      <c r="G147" s="8">
        <v>46134</v>
      </c>
      <c r="H147" s="6">
        <f>DynamicTable1[[#This Row],[Fecha de cierre]]-DynamicTable1[[#This Row],[Fecha de creación]]</f>
        <v>2</v>
      </c>
      <c r="I147" s="4">
        <f>IF(DynamicTable1[[#This Row],[Permite agregar una columna.]]&lt;=6,1,0)</f>
        <v>1</v>
      </c>
      <c r="J147" s="6" t="str">
        <f>TEXT(DynamicTable1[[#This Row],[Fecha de creación]],"DDDD")</f>
        <v>lunes</v>
      </c>
      <c r="K147" s="6">
        <f>IF(DynamicTable1[[#This Row],[dia]]="Viernes",4,IF(DynamicTable1[[#This Row],[dia]]="Sábado",2,IF(DynamicTable1[[#This Row],[dia]]="Domingo",1,0)))</f>
        <v>0</v>
      </c>
    </row>
    <row r="148" spans="1:11" x14ac:dyDescent="0.25">
      <c r="A148" t="s">
        <v>326</v>
      </c>
      <c r="B148" t="s">
        <v>18</v>
      </c>
      <c r="C148" t="s">
        <v>24</v>
      </c>
      <c r="D148" t="s">
        <v>11</v>
      </c>
      <c r="E148" t="s">
        <v>327</v>
      </c>
      <c r="F148" s="8">
        <v>46133</v>
      </c>
      <c r="G148" s="8">
        <v>46134</v>
      </c>
      <c r="H148" s="6">
        <f>DynamicTable1[[#This Row],[Fecha de cierre]]-DynamicTable1[[#This Row],[Fecha de creación]]</f>
        <v>1</v>
      </c>
      <c r="I148" s="4">
        <f>IF(DynamicTable1[[#This Row],[Permite agregar una columna.]]&lt;=6,1,0)</f>
        <v>1</v>
      </c>
      <c r="J148" s="6" t="str">
        <f>TEXT(DynamicTable1[[#This Row],[Fecha de creación]],"DDDD")</f>
        <v>martes</v>
      </c>
      <c r="K148" s="6">
        <f>IF(DynamicTable1[[#This Row],[dia]]="Viernes",4,IF(DynamicTable1[[#This Row],[dia]]="Sábado",2,IF(DynamicTable1[[#This Row],[dia]]="Domingo",1,0)))</f>
        <v>0</v>
      </c>
    </row>
    <row r="149" spans="1:11" x14ac:dyDescent="0.25">
      <c r="A149" t="s">
        <v>328</v>
      </c>
      <c r="B149" t="s">
        <v>18</v>
      </c>
      <c r="C149" t="s">
        <v>24</v>
      </c>
      <c r="D149" t="s">
        <v>11</v>
      </c>
      <c r="E149" t="s">
        <v>329</v>
      </c>
      <c r="F149" s="8">
        <v>46133</v>
      </c>
      <c r="G149" s="8">
        <v>46134</v>
      </c>
      <c r="H149" s="6">
        <f>DynamicTable1[[#This Row],[Fecha de cierre]]-DynamicTable1[[#This Row],[Fecha de creación]]</f>
        <v>1</v>
      </c>
      <c r="I149" s="4">
        <f>IF(DynamicTable1[[#This Row],[Permite agregar una columna.]]&lt;=6,1,0)</f>
        <v>1</v>
      </c>
      <c r="J149" s="6" t="str">
        <f>TEXT(DynamicTable1[[#This Row],[Fecha de creación]],"DDDD")</f>
        <v>martes</v>
      </c>
      <c r="K149" s="6">
        <f>IF(DynamicTable1[[#This Row],[dia]]="Viernes",4,IF(DynamicTable1[[#This Row],[dia]]="Sábado",2,IF(DynamicTable1[[#This Row],[dia]]="Domingo",1,0)))</f>
        <v>0</v>
      </c>
    </row>
    <row r="150" spans="1:11" x14ac:dyDescent="0.25">
      <c r="A150" t="s">
        <v>330</v>
      </c>
      <c r="B150" t="s">
        <v>13</v>
      </c>
      <c r="C150" t="s">
        <v>24</v>
      </c>
      <c r="D150" t="s">
        <v>11</v>
      </c>
      <c r="E150" t="s">
        <v>331</v>
      </c>
      <c r="F150" s="8">
        <v>46133</v>
      </c>
      <c r="G150" s="8">
        <v>46133</v>
      </c>
      <c r="H150" s="6">
        <f>DynamicTable1[[#This Row],[Fecha de cierre]]-DynamicTable1[[#This Row],[Fecha de creación]]</f>
        <v>0</v>
      </c>
      <c r="I150" s="4">
        <f>IF(DynamicTable1[[#This Row],[Permite agregar una columna.]]&lt;=6,1,0)</f>
        <v>1</v>
      </c>
      <c r="J150" s="6" t="str">
        <f>TEXT(DynamicTable1[[#This Row],[Fecha de creación]],"DDDD")</f>
        <v>martes</v>
      </c>
      <c r="K150" s="6">
        <f>IF(DynamicTable1[[#This Row],[dia]]="Viernes",4,IF(DynamicTable1[[#This Row],[dia]]="Sábado",2,IF(DynamicTable1[[#This Row],[dia]]="Domingo",1,0)))</f>
        <v>0</v>
      </c>
    </row>
    <row r="151" spans="1:11" x14ac:dyDescent="0.25">
      <c r="A151" t="s">
        <v>332</v>
      </c>
      <c r="B151" t="s">
        <v>18</v>
      </c>
      <c r="C151" t="s">
        <v>24</v>
      </c>
      <c r="D151" t="s">
        <v>11</v>
      </c>
      <c r="E151" t="s">
        <v>333</v>
      </c>
      <c r="F151" s="8">
        <v>46133</v>
      </c>
      <c r="G151" s="8">
        <v>46134</v>
      </c>
      <c r="H151" s="6">
        <f>DynamicTable1[[#This Row],[Fecha de cierre]]-DynamicTable1[[#This Row],[Fecha de creación]]</f>
        <v>1</v>
      </c>
      <c r="I151" s="4">
        <f>IF(DynamicTable1[[#This Row],[Permite agregar una columna.]]&lt;=6,1,0)</f>
        <v>1</v>
      </c>
      <c r="J151" s="6" t="str">
        <f>TEXT(DynamicTable1[[#This Row],[Fecha de creación]],"DDDD")</f>
        <v>martes</v>
      </c>
      <c r="K151" s="6">
        <f>IF(DynamicTable1[[#This Row],[dia]]="Viernes",4,IF(DynamicTable1[[#This Row],[dia]]="Sábado",2,IF(DynamicTable1[[#This Row],[dia]]="Domingo",1,0)))</f>
        <v>0</v>
      </c>
    </row>
    <row r="152" spans="1:11" hidden="1" x14ac:dyDescent="0.25">
      <c r="A152" t="s">
        <v>334</v>
      </c>
      <c r="B152" t="s">
        <v>19</v>
      </c>
      <c r="C152"/>
      <c r="D152" t="s">
        <v>11</v>
      </c>
      <c r="E152" t="s">
        <v>335</v>
      </c>
      <c r="F152" s="8">
        <v>46133</v>
      </c>
      <c r="G152" s="8">
        <v>46133</v>
      </c>
      <c r="H152" s="6">
        <f>DynamicTable1[[#This Row],[Fecha de cierre]]-DynamicTable1[[#This Row],[Fecha de creación]]</f>
        <v>0</v>
      </c>
      <c r="I152" s="4">
        <f>IF(DynamicTable1[[#This Row],[Permite agregar una columna.]]&lt;=6,1,0)</f>
        <v>1</v>
      </c>
      <c r="J152" s="6" t="str">
        <f>TEXT(DynamicTable1[[#This Row],[Fecha de creación]],"DDDD")</f>
        <v>martes</v>
      </c>
      <c r="K152" s="6">
        <f>IF(DynamicTable1[[#This Row],[dia]]="Viernes",4,IF(DynamicTable1[[#This Row],[dia]]="Sábado",2,IF(DynamicTable1[[#This Row],[dia]]="Domingo",1,0)))</f>
        <v>0</v>
      </c>
    </row>
    <row r="153" spans="1:11" x14ac:dyDescent="0.25">
      <c r="A153" t="s">
        <v>336</v>
      </c>
      <c r="B153" t="s">
        <v>13</v>
      </c>
      <c r="C153" t="s">
        <v>24</v>
      </c>
      <c r="D153" t="s">
        <v>11</v>
      </c>
      <c r="E153" t="s">
        <v>337</v>
      </c>
      <c r="F153" s="8">
        <v>46133</v>
      </c>
      <c r="G153" s="8">
        <v>46134</v>
      </c>
      <c r="H153" s="6">
        <f>DynamicTable1[[#This Row],[Fecha de cierre]]-DynamicTable1[[#This Row],[Fecha de creación]]</f>
        <v>1</v>
      </c>
      <c r="I153" s="4">
        <f>IF(DynamicTable1[[#This Row],[Permite agregar una columna.]]&lt;=6,1,0)</f>
        <v>1</v>
      </c>
      <c r="J153" s="6" t="str">
        <f>TEXT(DynamicTable1[[#This Row],[Fecha de creación]],"DDDD")</f>
        <v>martes</v>
      </c>
      <c r="K153" s="6">
        <f>IF(DynamicTable1[[#This Row],[dia]]="Viernes",4,IF(DynamicTable1[[#This Row],[dia]]="Sábado",2,IF(DynamicTable1[[#This Row],[dia]]="Domingo",1,0)))</f>
        <v>0</v>
      </c>
    </row>
    <row r="154" spans="1:11" x14ac:dyDescent="0.25">
      <c r="A154" t="s">
        <v>338</v>
      </c>
      <c r="B154" t="s">
        <v>17</v>
      </c>
      <c r="C154" t="s">
        <v>24</v>
      </c>
      <c r="D154" t="s">
        <v>11</v>
      </c>
      <c r="E154" t="s">
        <v>339</v>
      </c>
      <c r="F154" s="8">
        <v>46133</v>
      </c>
      <c r="G154" s="8">
        <v>46134</v>
      </c>
      <c r="H154" s="6">
        <f>DynamicTable1[[#This Row],[Fecha de cierre]]-DynamicTable1[[#This Row],[Fecha de creación]]</f>
        <v>1</v>
      </c>
      <c r="I154" s="4">
        <f>IF(DynamicTable1[[#This Row],[Permite agregar una columna.]]&lt;=6,1,0)</f>
        <v>1</v>
      </c>
      <c r="J154" s="6" t="str">
        <f>TEXT(DynamicTable1[[#This Row],[Fecha de creación]],"DDDD")</f>
        <v>martes</v>
      </c>
      <c r="K154" s="6">
        <f>IF(DynamicTable1[[#This Row],[dia]]="Viernes",4,IF(DynamicTable1[[#This Row],[dia]]="Sábado",2,IF(DynamicTable1[[#This Row],[dia]]="Domingo",1,0)))</f>
        <v>0</v>
      </c>
    </row>
    <row r="155" spans="1:11" hidden="1" x14ac:dyDescent="0.25">
      <c r="A155" t="s">
        <v>340</v>
      </c>
      <c r="B155" t="s">
        <v>18</v>
      </c>
      <c r="C155" t="s">
        <v>24</v>
      </c>
      <c r="D155" t="s">
        <v>21</v>
      </c>
      <c r="E155" t="s">
        <v>341</v>
      </c>
      <c r="F155" s="8">
        <v>46133</v>
      </c>
      <c r="G155" s="8"/>
      <c r="H155" s="6">
        <f>DynamicTable1[[#This Row],[Fecha de cierre]]-DynamicTable1[[#This Row],[Fecha de creación]]</f>
        <v>-46133</v>
      </c>
      <c r="I155" s="4">
        <f>IF(DynamicTable1[[#This Row],[Permite agregar una columna.]]&lt;=6,1,0)</f>
        <v>1</v>
      </c>
      <c r="J155" s="6" t="str">
        <f>TEXT(DynamicTable1[[#This Row],[Fecha de creación]],"DDDD")</f>
        <v>martes</v>
      </c>
      <c r="K155" s="6">
        <f>IF(DynamicTable1[[#This Row],[dia]]="Viernes",4,IF(DynamicTable1[[#This Row],[dia]]="Sábado",2,IF(DynamicTable1[[#This Row],[dia]]="Domingo",1,0)))</f>
        <v>0</v>
      </c>
    </row>
    <row r="156" spans="1:11" hidden="1" x14ac:dyDescent="0.25">
      <c r="A156" t="s">
        <v>342</v>
      </c>
      <c r="B156" t="s">
        <v>17</v>
      </c>
      <c r="C156" t="s">
        <v>20</v>
      </c>
      <c r="D156" t="s">
        <v>11</v>
      </c>
      <c r="E156" t="s">
        <v>343</v>
      </c>
      <c r="F156" s="8">
        <v>46133</v>
      </c>
      <c r="G156" s="8">
        <v>46134</v>
      </c>
      <c r="H156" s="6">
        <f>DynamicTable1[[#This Row],[Fecha de cierre]]-DynamicTable1[[#This Row],[Fecha de creación]]</f>
        <v>1</v>
      </c>
      <c r="I156" s="4">
        <f>IF(DynamicTable1[[#This Row],[Permite agregar una columna.]]&lt;=6,1,0)</f>
        <v>1</v>
      </c>
      <c r="J156" s="6" t="str">
        <f>TEXT(DynamicTable1[[#This Row],[Fecha de creación]],"DDDD")</f>
        <v>martes</v>
      </c>
      <c r="K156" s="6">
        <f>IF(DynamicTable1[[#This Row],[dia]]="Viernes",4,IF(DynamicTable1[[#This Row],[dia]]="Sábado",2,IF(DynamicTable1[[#This Row],[dia]]="Domingo",1,0)))</f>
        <v>0</v>
      </c>
    </row>
    <row r="157" spans="1:11" hidden="1" x14ac:dyDescent="0.25">
      <c r="A157" t="s">
        <v>344</v>
      </c>
      <c r="B157" t="s">
        <v>19</v>
      </c>
      <c r="C157"/>
      <c r="D157" t="s">
        <v>11</v>
      </c>
      <c r="E157" t="s">
        <v>345</v>
      </c>
      <c r="F157" s="8">
        <v>46133</v>
      </c>
      <c r="G157" s="8">
        <v>46134</v>
      </c>
      <c r="H157" s="6">
        <f>DynamicTable1[[#This Row],[Fecha de cierre]]-DynamicTable1[[#This Row],[Fecha de creación]]</f>
        <v>1</v>
      </c>
      <c r="I157" s="4">
        <f>IF(DynamicTable1[[#This Row],[Permite agregar una columna.]]&lt;=6,1,0)</f>
        <v>1</v>
      </c>
      <c r="J157" s="6" t="str">
        <f>TEXT(DynamicTable1[[#This Row],[Fecha de creación]],"DDDD")</f>
        <v>martes</v>
      </c>
      <c r="K157" s="6">
        <f>IF(DynamicTable1[[#This Row],[dia]]="Viernes",4,IF(DynamicTable1[[#This Row],[dia]]="Sábado",2,IF(DynamicTable1[[#This Row],[dia]]="Domingo",1,0)))</f>
        <v>0</v>
      </c>
    </row>
    <row r="158" spans="1:11" hidden="1" x14ac:dyDescent="0.25">
      <c r="A158" t="s">
        <v>346</v>
      </c>
      <c r="B158" t="s">
        <v>19</v>
      </c>
      <c r="C158"/>
      <c r="D158" t="s">
        <v>11</v>
      </c>
      <c r="E158" t="s">
        <v>347</v>
      </c>
      <c r="F158" s="8">
        <v>46133</v>
      </c>
      <c r="G158" s="8">
        <v>46134</v>
      </c>
      <c r="H158" s="6">
        <f>DynamicTable1[[#This Row],[Fecha de cierre]]-DynamicTable1[[#This Row],[Fecha de creación]]</f>
        <v>1</v>
      </c>
      <c r="I158" s="4">
        <f>IF(DynamicTable1[[#This Row],[Permite agregar una columna.]]&lt;=6,1,0)</f>
        <v>1</v>
      </c>
      <c r="J158" s="6" t="str">
        <f>TEXT(DynamicTable1[[#This Row],[Fecha de creación]],"DDDD")</f>
        <v>martes</v>
      </c>
      <c r="K158" s="6">
        <f>IF(DynamicTable1[[#This Row],[dia]]="Viernes",4,IF(DynamicTable1[[#This Row],[dia]]="Sábado",2,IF(DynamicTable1[[#This Row],[dia]]="Domingo",1,0)))</f>
        <v>0</v>
      </c>
    </row>
    <row r="159" spans="1:11" hidden="1" x14ac:dyDescent="0.25">
      <c r="A159" t="s">
        <v>348</v>
      </c>
      <c r="B159" t="s">
        <v>19</v>
      </c>
      <c r="C159" t="s">
        <v>127</v>
      </c>
      <c r="D159" t="s">
        <v>21</v>
      </c>
      <c r="E159" t="s">
        <v>349</v>
      </c>
      <c r="F159" s="8">
        <v>46133</v>
      </c>
      <c r="G159" s="8"/>
      <c r="H159" s="6">
        <f>DynamicTable1[[#This Row],[Fecha de cierre]]-DynamicTable1[[#This Row],[Fecha de creación]]</f>
        <v>-46133</v>
      </c>
      <c r="I159" s="4">
        <f>IF(DynamicTable1[[#This Row],[Permite agregar una columna.]]&lt;=6,1,0)</f>
        <v>1</v>
      </c>
      <c r="J159" s="6" t="str">
        <f>TEXT(DynamicTable1[[#This Row],[Fecha de creación]],"DDDD")</f>
        <v>martes</v>
      </c>
      <c r="K159" s="6">
        <f>IF(DynamicTable1[[#This Row],[dia]]="Viernes",4,IF(DynamicTable1[[#This Row],[dia]]="Sábado",2,IF(DynamicTable1[[#This Row],[dia]]="Domingo",1,0)))</f>
        <v>0</v>
      </c>
    </row>
    <row r="160" spans="1:11" x14ac:dyDescent="0.25">
      <c r="A160" t="s">
        <v>350</v>
      </c>
      <c r="B160" t="s">
        <v>13</v>
      </c>
      <c r="C160" t="s">
        <v>24</v>
      </c>
      <c r="D160" t="s">
        <v>11</v>
      </c>
      <c r="E160" t="s">
        <v>351</v>
      </c>
      <c r="F160" s="8">
        <v>46134</v>
      </c>
      <c r="G160" s="8">
        <v>46134</v>
      </c>
      <c r="H160" s="6">
        <f>DynamicTable1[[#This Row],[Fecha de cierre]]-DynamicTable1[[#This Row],[Fecha de creación]]</f>
        <v>0</v>
      </c>
      <c r="I160" s="4">
        <f>IF(DynamicTable1[[#This Row],[Permite agregar una columna.]]&lt;=6,1,0)</f>
        <v>1</v>
      </c>
      <c r="J160" s="6" t="str">
        <f>TEXT(DynamicTable1[[#This Row],[Fecha de creación]],"DDDD")</f>
        <v>miércoles</v>
      </c>
      <c r="K160" s="6">
        <f>IF(DynamicTable1[[#This Row],[dia]]="Viernes",4,IF(DynamicTable1[[#This Row],[dia]]="Sábado",2,IF(DynamicTable1[[#This Row],[dia]]="Domingo",1,0)))</f>
        <v>0</v>
      </c>
    </row>
    <row r="161" spans="1:11" x14ac:dyDescent="0.25">
      <c r="A161" t="s">
        <v>352</v>
      </c>
      <c r="B161" t="s">
        <v>19</v>
      </c>
      <c r="C161" t="s">
        <v>24</v>
      </c>
      <c r="D161" t="s">
        <v>11</v>
      </c>
      <c r="E161" t="s">
        <v>353</v>
      </c>
      <c r="F161" s="8">
        <v>46134</v>
      </c>
      <c r="G161" s="8">
        <v>46134</v>
      </c>
      <c r="H161" s="6">
        <f>DynamicTable1[[#This Row],[Fecha de cierre]]-DynamicTable1[[#This Row],[Fecha de creación]]</f>
        <v>0</v>
      </c>
      <c r="I161" s="4">
        <f>IF(DynamicTable1[[#This Row],[Permite agregar una columna.]]&lt;=6,1,0)</f>
        <v>1</v>
      </c>
      <c r="J161" s="6" t="str">
        <f>TEXT(DynamicTable1[[#This Row],[Fecha de creación]],"DDDD")</f>
        <v>miércoles</v>
      </c>
      <c r="K161" s="6">
        <f>IF(DynamicTable1[[#This Row],[dia]]="Viernes",4,IF(DynamicTable1[[#This Row],[dia]]="Sábado",2,IF(DynamicTable1[[#This Row],[dia]]="Domingo",1,0)))</f>
        <v>0</v>
      </c>
    </row>
    <row r="162" spans="1:11" x14ac:dyDescent="0.25">
      <c r="A162" t="s">
        <v>354</v>
      </c>
      <c r="B162" t="s">
        <v>13</v>
      </c>
      <c r="C162" t="s">
        <v>24</v>
      </c>
      <c r="D162" t="s">
        <v>11</v>
      </c>
      <c r="E162" t="s">
        <v>355</v>
      </c>
      <c r="F162" s="8">
        <v>46134</v>
      </c>
      <c r="G162" s="8">
        <v>46134</v>
      </c>
      <c r="H162" s="6">
        <f>DynamicTable1[[#This Row],[Fecha de cierre]]-DynamicTable1[[#This Row],[Fecha de creación]]</f>
        <v>0</v>
      </c>
      <c r="I162" s="4">
        <f>IF(DynamicTable1[[#This Row],[Permite agregar una columna.]]&lt;=6,1,0)</f>
        <v>1</v>
      </c>
      <c r="J162" s="6" t="str">
        <f>TEXT(DynamicTable1[[#This Row],[Fecha de creación]],"DDDD")</f>
        <v>miércoles</v>
      </c>
      <c r="K162" s="6">
        <f>IF(DynamicTable1[[#This Row],[dia]]="Viernes",4,IF(DynamicTable1[[#This Row],[dia]]="Sábado",2,IF(DynamicTable1[[#This Row],[dia]]="Domingo",1,0)))</f>
        <v>0</v>
      </c>
    </row>
    <row r="163" spans="1:11" x14ac:dyDescent="0.25">
      <c r="A163" t="s">
        <v>356</v>
      </c>
      <c r="B163" t="s">
        <v>17</v>
      </c>
      <c r="C163" t="s">
        <v>24</v>
      </c>
      <c r="D163" t="s">
        <v>11</v>
      </c>
      <c r="E163" t="s">
        <v>357</v>
      </c>
      <c r="F163" s="8">
        <v>46134</v>
      </c>
      <c r="G163" s="8">
        <v>46134</v>
      </c>
      <c r="H163" s="6">
        <f>DynamicTable1[[#This Row],[Fecha de cierre]]-DynamicTable1[[#This Row],[Fecha de creación]]</f>
        <v>0</v>
      </c>
      <c r="I163" s="4">
        <f>IF(DynamicTable1[[#This Row],[Permite agregar una columna.]]&lt;=6,1,0)</f>
        <v>1</v>
      </c>
      <c r="J163" s="6" t="str">
        <f>TEXT(DynamicTable1[[#This Row],[Fecha de creación]],"DDDD")</f>
        <v>miércoles</v>
      </c>
      <c r="K163" s="6">
        <f>IF(DynamicTable1[[#This Row],[dia]]="Viernes",4,IF(DynamicTable1[[#This Row],[dia]]="Sábado",2,IF(DynamicTable1[[#This Row],[dia]]="Domingo",1,0)))</f>
        <v>0</v>
      </c>
    </row>
    <row r="164" spans="1:11" x14ac:dyDescent="0.25">
      <c r="A164" t="s">
        <v>358</v>
      </c>
      <c r="B164" t="s">
        <v>13</v>
      </c>
      <c r="C164" t="s">
        <v>24</v>
      </c>
      <c r="D164" t="s">
        <v>11</v>
      </c>
      <c r="E164" t="s">
        <v>359</v>
      </c>
      <c r="F164" s="8">
        <v>46134</v>
      </c>
      <c r="G164" s="8">
        <v>46134</v>
      </c>
      <c r="H164" s="6">
        <f>DynamicTable1[[#This Row],[Fecha de cierre]]-DynamicTable1[[#This Row],[Fecha de creación]]</f>
        <v>0</v>
      </c>
      <c r="I164" s="4">
        <f>IF(DynamicTable1[[#This Row],[Permite agregar una columna.]]&lt;=6,1,0)</f>
        <v>1</v>
      </c>
      <c r="J164" s="6" t="str">
        <f>TEXT(DynamicTable1[[#This Row],[Fecha de creación]],"DDDD")</f>
        <v>miércoles</v>
      </c>
      <c r="K164" s="6">
        <f>IF(DynamicTable1[[#This Row],[dia]]="Viernes",4,IF(DynamicTable1[[#This Row],[dia]]="Sábado",2,IF(DynamicTable1[[#This Row],[dia]]="Domingo",1,0)))</f>
        <v>0</v>
      </c>
    </row>
    <row r="165" spans="1:11" x14ac:dyDescent="0.25">
      <c r="A165" t="s">
        <v>360</v>
      </c>
      <c r="B165" t="s">
        <v>13</v>
      </c>
      <c r="C165" t="s">
        <v>24</v>
      </c>
      <c r="D165" t="s">
        <v>11</v>
      </c>
      <c r="E165" t="s">
        <v>361</v>
      </c>
      <c r="F165" s="8">
        <v>46134</v>
      </c>
      <c r="G165" s="8">
        <v>46134</v>
      </c>
      <c r="H165" s="6">
        <f>DynamicTable1[[#This Row],[Fecha de cierre]]-DynamicTable1[[#This Row],[Fecha de creación]]</f>
        <v>0</v>
      </c>
      <c r="I165" s="4">
        <f>IF(DynamicTable1[[#This Row],[Permite agregar una columna.]]&lt;=6,1,0)</f>
        <v>1</v>
      </c>
      <c r="J165" s="6" t="str">
        <f>TEXT(DynamicTable1[[#This Row],[Fecha de creación]],"DDDD")</f>
        <v>miércoles</v>
      </c>
      <c r="K165" s="6">
        <f>IF(DynamicTable1[[#This Row],[dia]]="Viernes",4,IF(DynamicTable1[[#This Row],[dia]]="Sábado",2,IF(DynamicTable1[[#This Row],[dia]]="Domingo",1,0)))</f>
        <v>0</v>
      </c>
    </row>
    <row r="166" spans="1:11" x14ac:dyDescent="0.25">
      <c r="A166" t="s">
        <v>362</v>
      </c>
      <c r="B166" t="s">
        <v>13</v>
      </c>
      <c r="C166" t="s">
        <v>24</v>
      </c>
      <c r="D166" t="s">
        <v>11</v>
      </c>
      <c r="E166" t="s">
        <v>363</v>
      </c>
      <c r="F166" s="8">
        <v>46134</v>
      </c>
      <c r="G166" s="8">
        <v>46134</v>
      </c>
      <c r="H166" s="6">
        <f>DynamicTable1[[#This Row],[Fecha de cierre]]-DynamicTable1[[#This Row],[Fecha de creación]]</f>
        <v>0</v>
      </c>
      <c r="I166" s="4">
        <f>IF(DynamicTable1[[#This Row],[Permite agregar una columna.]]&lt;=6,1,0)</f>
        <v>1</v>
      </c>
      <c r="J166" s="6" t="str">
        <f>TEXT(DynamicTable1[[#This Row],[Fecha de creación]],"DDDD")</f>
        <v>miércoles</v>
      </c>
      <c r="K166" s="6">
        <f>IF(DynamicTable1[[#This Row],[dia]]="Viernes",4,IF(DynamicTable1[[#This Row],[dia]]="Sábado",2,IF(DynamicTable1[[#This Row],[dia]]="Domingo",1,0)))</f>
        <v>0</v>
      </c>
    </row>
    <row r="167" spans="1:11" x14ac:dyDescent="0.25">
      <c r="A167" t="s">
        <v>364</v>
      </c>
      <c r="B167" t="s">
        <v>13</v>
      </c>
      <c r="C167" t="s">
        <v>24</v>
      </c>
      <c r="D167" t="s">
        <v>11</v>
      </c>
      <c r="E167" t="s">
        <v>365</v>
      </c>
      <c r="F167" s="8">
        <v>46134</v>
      </c>
      <c r="G167" s="8">
        <v>46134</v>
      </c>
      <c r="H167" s="6">
        <f>DynamicTable1[[#This Row],[Fecha de cierre]]-DynamicTable1[[#This Row],[Fecha de creación]]</f>
        <v>0</v>
      </c>
      <c r="I167" s="4">
        <f>IF(DynamicTable1[[#This Row],[Permite agregar una columna.]]&lt;=6,1,0)</f>
        <v>1</v>
      </c>
      <c r="J167" s="6" t="str">
        <f>TEXT(DynamicTable1[[#This Row],[Fecha de creación]],"DDDD")</f>
        <v>miércoles</v>
      </c>
      <c r="K167" s="6">
        <f>IF(DynamicTable1[[#This Row],[dia]]="Viernes",4,IF(DynamicTable1[[#This Row],[dia]]="Sábado",2,IF(DynamicTable1[[#This Row],[dia]]="Domingo",1,0)))</f>
        <v>0</v>
      </c>
    </row>
    <row r="168" spans="1:11" hidden="1" x14ac:dyDescent="0.25">
      <c r="A168" t="s">
        <v>366</v>
      </c>
      <c r="B168" t="s">
        <v>19</v>
      </c>
      <c r="C168"/>
      <c r="D168" t="s">
        <v>11</v>
      </c>
      <c r="E168" t="s">
        <v>367</v>
      </c>
      <c r="F168" s="8">
        <v>46134</v>
      </c>
      <c r="G168" s="8">
        <v>46140</v>
      </c>
      <c r="H168" s="6">
        <f>DynamicTable1[[#This Row],[Fecha de cierre]]-DynamicTable1[[#This Row],[Fecha de creación]]</f>
        <v>6</v>
      </c>
      <c r="I168" s="4">
        <f>IF(DynamicTable1[[#This Row],[Permite agregar una columna.]]&lt;=6,1,0)</f>
        <v>1</v>
      </c>
      <c r="J168" s="6" t="str">
        <f>TEXT(DynamicTable1[[#This Row],[Fecha de creación]],"DDDD")</f>
        <v>miércoles</v>
      </c>
      <c r="K168" s="6">
        <f>IF(DynamicTable1[[#This Row],[dia]]="Viernes",4,IF(DynamicTable1[[#This Row],[dia]]="Sábado",2,IF(DynamicTable1[[#This Row],[dia]]="Domingo",1,0)))</f>
        <v>0</v>
      </c>
    </row>
    <row r="169" spans="1:11" hidden="1" x14ac:dyDescent="0.25">
      <c r="A169" t="s">
        <v>368</v>
      </c>
      <c r="B169" t="s">
        <v>15</v>
      </c>
      <c r="C169" t="s">
        <v>20</v>
      </c>
      <c r="D169" t="s">
        <v>11</v>
      </c>
      <c r="E169" t="s">
        <v>369</v>
      </c>
      <c r="F169" s="8">
        <v>46134</v>
      </c>
      <c r="G169" s="8">
        <v>46134</v>
      </c>
      <c r="H169" s="6">
        <f>DynamicTable1[[#This Row],[Fecha de cierre]]-DynamicTable1[[#This Row],[Fecha de creación]]</f>
        <v>0</v>
      </c>
      <c r="I169" s="4">
        <f>IF(DynamicTable1[[#This Row],[Permite agregar una columna.]]&lt;=6,1,0)</f>
        <v>1</v>
      </c>
      <c r="J169" s="6" t="str">
        <f>TEXT(DynamicTable1[[#This Row],[Fecha de creación]],"DDDD")</f>
        <v>miércoles</v>
      </c>
      <c r="K169" s="6">
        <f>IF(DynamicTable1[[#This Row],[dia]]="Viernes",4,IF(DynamicTable1[[#This Row],[dia]]="Sábado",2,IF(DynamicTable1[[#This Row],[dia]]="Domingo",1,0)))</f>
        <v>0</v>
      </c>
    </row>
    <row r="170" spans="1:11" hidden="1" x14ac:dyDescent="0.25">
      <c r="A170" t="s">
        <v>370</v>
      </c>
      <c r="B170" t="s">
        <v>15</v>
      </c>
      <c r="C170"/>
      <c r="D170" t="s">
        <v>11</v>
      </c>
      <c r="E170" t="s">
        <v>371</v>
      </c>
      <c r="F170" s="8">
        <v>46134</v>
      </c>
      <c r="G170" s="8">
        <v>46134</v>
      </c>
      <c r="H170" s="6">
        <f>DynamicTable1[[#This Row],[Fecha de cierre]]-DynamicTable1[[#This Row],[Fecha de creación]]</f>
        <v>0</v>
      </c>
      <c r="I170" s="4">
        <f>IF(DynamicTable1[[#This Row],[Permite agregar una columna.]]&lt;=6,1,0)</f>
        <v>1</v>
      </c>
      <c r="J170" s="6" t="str">
        <f>TEXT(DynamicTable1[[#This Row],[Fecha de creación]],"DDDD")</f>
        <v>miércoles</v>
      </c>
      <c r="K170" s="6">
        <f>IF(DynamicTable1[[#This Row],[dia]]="Viernes",4,IF(DynamicTable1[[#This Row],[dia]]="Sábado",2,IF(DynamicTable1[[#This Row],[dia]]="Domingo",1,0)))</f>
        <v>0</v>
      </c>
    </row>
    <row r="171" spans="1:11" hidden="1" x14ac:dyDescent="0.25">
      <c r="A171" t="s">
        <v>372</v>
      </c>
      <c r="B171" t="s">
        <v>19</v>
      </c>
      <c r="C171"/>
      <c r="D171" t="s">
        <v>11</v>
      </c>
      <c r="E171" t="s">
        <v>373</v>
      </c>
      <c r="F171" s="8">
        <v>46134</v>
      </c>
      <c r="G171" s="8">
        <v>46134</v>
      </c>
      <c r="H171" s="6">
        <f>DynamicTable1[[#This Row],[Fecha de cierre]]-DynamicTable1[[#This Row],[Fecha de creación]]</f>
        <v>0</v>
      </c>
      <c r="I171" s="4">
        <f>IF(DynamicTable1[[#This Row],[Permite agregar una columna.]]&lt;=6,1,0)</f>
        <v>1</v>
      </c>
      <c r="J171" s="6" t="str">
        <f>TEXT(DynamicTable1[[#This Row],[Fecha de creación]],"DDDD")</f>
        <v>miércoles</v>
      </c>
      <c r="K171" s="6">
        <f>IF(DynamicTable1[[#This Row],[dia]]="Viernes",4,IF(DynamicTable1[[#This Row],[dia]]="Sábado",2,IF(DynamicTable1[[#This Row],[dia]]="Domingo",1,0)))</f>
        <v>0</v>
      </c>
    </row>
    <row r="172" spans="1:11" hidden="1" x14ac:dyDescent="0.25">
      <c r="A172" t="s">
        <v>374</v>
      </c>
      <c r="B172" t="s">
        <v>19</v>
      </c>
      <c r="C172"/>
      <c r="D172" t="s">
        <v>11</v>
      </c>
      <c r="E172" t="s">
        <v>375</v>
      </c>
      <c r="F172" s="8">
        <v>46134</v>
      </c>
      <c r="G172" s="8">
        <v>46135</v>
      </c>
      <c r="H172" s="6">
        <f>DynamicTable1[[#This Row],[Fecha de cierre]]-DynamicTable1[[#This Row],[Fecha de creación]]</f>
        <v>1</v>
      </c>
      <c r="I172" s="4">
        <f>IF(DynamicTable1[[#This Row],[Permite agregar una columna.]]&lt;=6,1,0)</f>
        <v>1</v>
      </c>
      <c r="J172" s="6" t="str">
        <f>TEXT(DynamicTable1[[#This Row],[Fecha de creación]],"DDDD")</f>
        <v>miércoles</v>
      </c>
      <c r="K172" s="6">
        <f>IF(DynamicTable1[[#This Row],[dia]]="Viernes",4,IF(DynamicTable1[[#This Row],[dia]]="Sábado",2,IF(DynamicTable1[[#This Row],[dia]]="Domingo",1,0)))</f>
        <v>0</v>
      </c>
    </row>
    <row r="173" spans="1:11" hidden="1" x14ac:dyDescent="0.25">
      <c r="A173" t="s">
        <v>376</v>
      </c>
      <c r="B173" t="s">
        <v>14</v>
      </c>
      <c r="C173" t="s">
        <v>12</v>
      </c>
      <c r="D173" t="s">
        <v>11</v>
      </c>
      <c r="E173" t="s">
        <v>377</v>
      </c>
      <c r="F173" s="8">
        <v>46134</v>
      </c>
      <c r="G173" s="8">
        <v>46136</v>
      </c>
      <c r="H173" s="6">
        <f>DynamicTable1[[#This Row],[Fecha de cierre]]-DynamicTable1[[#This Row],[Fecha de creación]]</f>
        <v>2</v>
      </c>
      <c r="I173" s="4">
        <f>IF(DynamicTable1[[#This Row],[Permite agregar una columna.]]&lt;=6,1,0)</f>
        <v>1</v>
      </c>
      <c r="J173" s="6" t="str">
        <f>TEXT(DynamicTable1[[#This Row],[Fecha de creación]],"DDDD")</f>
        <v>miércoles</v>
      </c>
      <c r="K173" s="6">
        <f>IF(DynamicTable1[[#This Row],[dia]]="Viernes",4,IF(DynamicTable1[[#This Row],[dia]]="Sábado",2,IF(DynamicTable1[[#This Row],[dia]]="Domingo",1,0)))</f>
        <v>0</v>
      </c>
    </row>
    <row r="174" spans="1:11" hidden="1" x14ac:dyDescent="0.25">
      <c r="A174" t="s">
        <v>378</v>
      </c>
      <c r="B174" t="s">
        <v>19</v>
      </c>
      <c r="C174" t="s">
        <v>20</v>
      </c>
      <c r="D174" t="s">
        <v>11</v>
      </c>
      <c r="E174" t="s">
        <v>379</v>
      </c>
      <c r="F174" s="8">
        <v>46134</v>
      </c>
      <c r="G174" s="8">
        <v>46134</v>
      </c>
      <c r="H174" s="6">
        <f>DynamicTable1[[#This Row],[Fecha de cierre]]-DynamicTable1[[#This Row],[Fecha de creación]]</f>
        <v>0</v>
      </c>
      <c r="I174" s="4">
        <f>IF(DynamicTable1[[#This Row],[Permite agregar una columna.]]&lt;=6,1,0)</f>
        <v>1</v>
      </c>
      <c r="J174" s="6" t="str">
        <f>TEXT(DynamicTable1[[#This Row],[Fecha de creación]],"DDDD")</f>
        <v>miércoles</v>
      </c>
      <c r="K174" s="6">
        <f>IF(DynamicTable1[[#This Row],[dia]]="Viernes",4,IF(DynamicTable1[[#This Row],[dia]]="Sábado",2,IF(DynamicTable1[[#This Row],[dia]]="Domingo",1,0)))</f>
        <v>0</v>
      </c>
    </row>
    <row r="175" spans="1:11" x14ac:dyDescent="0.25">
      <c r="A175" t="s">
        <v>380</v>
      </c>
      <c r="B175" t="s">
        <v>19</v>
      </c>
      <c r="C175" t="s">
        <v>24</v>
      </c>
      <c r="D175" t="s">
        <v>11</v>
      </c>
      <c r="E175" t="s">
        <v>381</v>
      </c>
      <c r="F175" s="8">
        <v>46134</v>
      </c>
      <c r="G175" s="8">
        <v>46140</v>
      </c>
      <c r="H175" s="6">
        <f>DynamicTable1[[#This Row],[Fecha de cierre]]-DynamicTable1[[#This Row],[Fecha de creación]]</f>
        <v>6</v>
      </c>
      <c r="I175" s="4">
        <f>IF(DynamicTable1[[#This Row],[Permite agregar una columna.]]&lt;=6,1,0)</f>
        <v>1</v>
      </c>
      <c r="J175" s="6" t="str">
        <f>TEXT(DynamicTable1[[#This Row],[Fecha de creación]],"DDDD")</f>
        <v>miércoles</v>
      </c>
      <c r="K175" s="6">
        <f>IF(DynamicTable1[[#This Row],[dia]]="Viernes",4,IF(DynamicTable1[[#This Row],[dia]]="Sábado",2,IF(DynamicTable1[[#This Row],[dia]]="Domingo",1,0)))</f>
        <v>0</v>
      </c>
    </row>
    <row r="176" spans="1:11" x14ac:dyDescent="0.25">
      <c r="A176" t="s">
        <v>382</v>
      </c>
      <c r="B176" t="s">
        <v>13</v>
      </c>
      <c r="C176" t="s">
        <v>24</v>
      </c>
      <c r="D176" t="s">
        <v>11</v>
      </c>
      <c r="E176" t="s">
        <v>383</v>
      </c>
      <c r="F176" s="8">
        <v>46134</v>
      </c>
      <c r="G176" s="8">
        <v>46135</v>
      </c>
      <c r="H176" s="6">
        <f>DynamicTable1[[#This Row],[Fecha de cierre]]-DynamicTable1[[#This Row],[Fecha de creación]]</f>
        <v>1</v>
      </c>
      <c r="I176" s="4">
        <f>IF(DynamicTable1[[#This Row],[Permite agregar una columna.]]&lt;=6,1,0)</f>
        <v>1</v>
      </c>
      <c r="J176" s="6" t="str">
        <f>TEXT(DynamicTable1[[#This Row],[Fecha de creación]],"DDDD")</f>
        <v>miércoles</v>
      </c>
      <c r="K176" s="6">
        <f>IF(DynamicTable1[[#This Row],[dia]]="Viernes",4,IF(DynamicTable1[[#This Row],[dia]]="Sábado",2,IF(DynamicTable1[[#This Row],[dia]]="Domingo",1,0)))</f>
        <v>0</v>
      </c>
    </row>
    <row r="177" spans="1:11" x14ac:dyDescent="0.25">
      <c r="A177" t="s">
        <v>384</v>
      </c>
      <c r="B177" t="s">
        <v>23</v>
      </c>
      <c r="C177" t="s">
        <v>24</v>
      </c>
      <c r="D177" t="s">
        <v>11</v>
      </c>
      <c r="E177" t="s">
        <v>385</v>
      </c>
      <c r="F177" s="8">
        <v>46134</v>
      </c>
      <c r="G177" s="8">
        <v>46135</v>
      </c>
      <c r="H177" s="6">
        <f>DynamicTable1[[#This Row],[Fecha de cierre]]-DynamicTable1[[#This Row],[Fecha de creación]]</f>
        <v>1</v>
      </c>
      <c r="I177" s="4">
        <f>IF(DynamicTable1[[#This Row],[Permite agregar una columna.]]&lt;=6,1,0)</f>
        <v>1</v>
      </c>
      <c r="J177" s="6" t="str">
        <f>TEXT(DynamicTable1[[#This Row],[Fecha de creación]],"DDDD")</f>
        <v>miércoles</v>
      </c>
      <c r="K177" s="6">
        <f>IF(DynamicTable1[[#This Row],[dia]]="Viernes",4,IF(DynamicTable1[[#This Row],[dia]]="Sábado",2,IF(DynamicTable1[[#This Row],[dia]]="Domingo",1,0)))</f>
        <v>0</v>
      </c>
    </row>
    <row r="178" spans="1:11" hidden="1" x14ac:dyDescent="0.25">
      <c r="A178" t="s">
        <v>386</v>
      </c>
      <c r="B178" t="s">
        <v>13</v>
      </c>
      <c r="C178" t="s">
        <v>12</v>
      </c>
      <c r="D178" t="s">
        <v>11</v>
      </c>
      <c r="E178" t="s">
        <v>387</v>
      </c>
      <c r="F178" s="8">
        <v>46135</v>
      </c>
      <c r="G178" s="8">
        <v>46136</v>
      </c>
      <c r="H178" s="6">
        <f>DynamicTable1[[#This Row],[Fecha de cierre]]-DynamicTable1[[#This Row],[Fecha de creación]]</f>
        <v>1</v>
      </c>
      <c r="I178" s="4">
        <f>IF(DynamicTable1[[#This Row],[Permite agregar una columna.]]&lt;=6,1,0)</f>
        <v>1</v>
      </c>
      <c r="J178" s="6" t="str">
        <f>TEXT(DynamicTable1[[#This Row],[Fecha de creación]],"DDDD")</f>
        <v>jueves</v>
      </c>
      <c r="K178" s="6">
        <f>IF(DynamicTable1[[#This Row],[dia]]="Viernes",4,IF(DynamicTable1[[#This Row],[dia]]="Sábado",2,IF(DynamicTable1[[#This Row],[dia]]="Domingo",1,0)))</f>
        <v>0</v>
      </c>
    </row>
    <row r="179" spans="1:11" hidden="1" x14ac:dyDescent="0.25">
      <c r="A179" t="s">
        <v>388</v>
      </c>
      <c r="B179" t="s">
        <v>13</v>
      </c>
      <c r="C179" t="s">
        <v>20</v>
      </c>
      <c r="D179" t="s">
        <v>21</v>
      </c>
      <c r="E179" t="s">
        <v>389</v>
      </c>
      <c r="F179" s="8">
        <v>46135</v>
      </c>
      <c r="G179" s="8"/>
      <c r="H179" s="6">
        <f>DynamicTable1[[#This Row],[Fecha de cierre]]-DynamicTable1[[#This Row],[Fecha de creación]]</f>
        <v>-46135</v>
      </c>
      <c r="I179" s="4">
        <f>IF(DynamicTable1[[#This Row],[Permite agregar una columna.]]&lt;=6,1,0)</f>
        <v>1</v>
      </c>
      <c r="J179" s="6" t="str">
        <f>TEXT(DynamicTable1[[#This Row],[Fecha de creación]],"DDDD")</f>
        <v>jueves</v>
      </c>
      <c r="K179" s="6">
        <f>IF(DynamicTable1[[#This Row],[dia]]="Viernes",4,IF(DynamicTable1[[#This Row],[dia]]="Sábado",2,IF(DynamicTable1[[#This Row],[dia]]="Domingo",1,0)))</f>
        <v>0</v>
      </c>
    </row>
    <row r="180" spans="1:11" hidden="1" x14ac:dyDescent="0.25">
      <c r="A180" t="s">
        <v>390</v>
      </c>
      <c r="B180" t="s">
        <v>13</v>
      </c>
      <c r="C180"/>
      <c r="D180" t="s">
        <v>11</v>
      </c>
      <c r="E180" t="s">
        <v>391</v>
      </c>
      <c r="F180" s="8">
        <v>46135</v>
      </c>
      <c r="G180" s="8">
        <v>46142</v>
      </c>
      <c r="H180" s="6">
        <f>DynamicTable1[[#This Row],[Fecha de cierre]]-DynamicTable1[[#This Row],[Fecha de creación]]</f>
        <v>7</v>
      </c>
      <c r="I180" s="4">
        <f>IF(DynamicTable1[[#This Row],[Permite agregar una columna.]]&lt;=6,1,0)</f>
        <v>0</v>
      </c>
      <c r="J180" s="6" t="str">
        <f>TEXT(DynamicTable1[[#This Row],[Fecha de creación]],"DDDD")</f>
        <v>jueves</v>
      </c>
      <c r="K180" s="6">
        <f>IF(DynamicTable1[[#This Row],[dia]]="Viernes",4,IF(DynamicTable1[[#This Row],[dia]]="Sábado",2,IF(DynamicTable1[[#This Row],[dia]]="Domingo",1,0)))</f>
        <v>0</v>
      </c>
    </row>
    <row r="181" spans="1:11" hidden="1" x14ac:dyDescent="0.25">
      <c r="A181" t="s">
        <v>392</v>
      </c>
      <c r="B181" t="s">
        <v>13</v>
      </c>
      <c r="C181"/>
      <c r="D181" t="s">
        <v>11</v>
      </c>
      <c r="E181" t="s">
        <v>393</v>
      </c>
      <c r="F181" s="8">
        <v>46135</v>
      </c>
      <c r="G181" s="8">
        <v>46136</v>
      </c>
      <c r="H181" s="6">
        <f>DynamicTable1[[#This Row],[Fecha de cierre]]-DynamicTable1[[#This Row],[Fecha de creación]]</f>
        <v>1</v>
      </c>
      <c r="I181" s="4">
        <f>IF(DynamicTable1[[#This Row],[Permite agregar una columna.]]&lt;=6,1,0)</f>
        <v>1</v>
      </c>
      <c r="J181" s="6" t="str">
        <f>TEXT(DynamicTable1[[#This Row],[Fecha de creación]],"DDDD")</f>
        <v>jueves</v>
      </c>
      <c r="K181" s="6">
        <f>IF(DynamicTable1[[#This Row],[dia]]="Viernes",4,IF(DynamicTable1[[#This Row],[dia]]="Sábado",2,IF(DynamicTable1[[#This Row],[dia]]="Domingo",1,0)))</f>
        <v>0</v>
      </c>
    </row>
    <row r="182" spans="1:11" hidden="1" x14ac:dyDescent="0.25">
      <c r="A182" t="s">
        <v>394</v>
      </c>
      <c r="B182" t="s">
        <v>15</v>
      </c>
      <c r="C182" t="s">
        <v>20</v>
      </c>
      <c r="D182" t="s">
        <v>11</v>
      </c>
      <c r="E182" t="s">
        <v>395</v>
      </c>
      <c r="F182" s="8">
        <v>46135</v>
      </c>
      <c r="G182" s="8">
        <v>46136</v>
      </c>
      <c r="H182" s="6">
        <f>DynamicTable1[[#This Row],[Fecha de cierre]]-DynamicTable1[[#This Row],[Fecha de creación]]</f>
        <v>1</v>
      </c>
      <c r="I182" s="4">
        <f>IF(DynamicTable1[[#This Row],[Permite agregar una columna.]]&lt;=6,1,0)</f>
        <v>1</v>
      </c>
      <c r="J182" s="6" t="str">
        <f>TEXT(DynamicTable1[[#This Row],[Fecha de creación]],"DDDD")</f>
        <v>jueves</v>
      </c>
      <c r="K182" s="6">
        <f>IF(DynamicTable1[[#This Row],[dia]]="Viernes",4,IF(DynamicTable1[[#This Row],[dia]]="Sábado",2,IF(DynamicTable1[[#This Row],[dia]]="Domingo",1,0)))</f>
        <v>0</v>
      </c>
    </row>
    <row r="183" spans="1:11" x14ac:dyDescent="0.25">
      <c r="A183" t="s">
        <v>396</v>
      </c>
      <c r="B183" t="s">
        <v>17</v>
      </c>
      <c r="C183" t="s">
        <v>24</v>
      </c>
      <c r="D183" t="s">
        <v>11</v>
      </c>
      <c r="E183" t="s">
        <v>397</v>
      </c>
      <c r="F183" s="8">
        <v>46135</v>
      </c>
      <c r="G183" s="8">
        <v>46135</v>
      </c>
      <c r="H183" s="6">
        <f>DynamicTable1[[#This Row],[Fecha de cierre]]-DynamicTable1[[#This Row],[Fecha de creación]]</f>
        <v>0</v>
      </c>
      <c r="I183" s="4">
        <f>IF(DynamicTable1[[#This Row],[Permite agregar una columna.]]&lt;=6,1,0)</f>
        <v>1</v>
      </c>
      <c r="J183" s="6" t="str">
        <f>TEXT(DynamicTable1[[#This Row],[Fecha de creación]],"DDDD")</f>
        <v>jueves</v>
      </c>
      <c r="K183" s="6">
        <f>IF(DynamicTable1[[#This Row],[dia]]="Viernes",4,IF(DynamicTable1[[#This Row],[dia]]="Sábado",2,IF(DynamicTable1[[#This Row],[dia]]="Domingo",1,0)))</f>
        <v>0</v>
      </c>
    </row>
    <row r="184" spans="1:11" x14ac:dyDescent="0.25">
      <c r="A184" t="s">
        <v>398</v>
      </c>
      <c r="B184" t="s">
        <v>14</v>
      </c>
      <c r="C184" t="s">
        <v>24</v>
      </c>
      <c r="D184" t="s">
        <v>11</v>
      </c>
      <c r="E184" t="s">
        <v>399</v>
      </c>
      <c r="F184" s="8">
        <v>46135</v>
      </c>
      <c r="G184" s="8">
        <v>46135</v>
      </c>
      <c r="H184" s="6">
        <f>DynamicTable1[[#This Row],[Fecha de cierre]]-DynamicTable1[[#This Row],[Fecha de creación]]</f>
        <v>0</v>
      </c>
      <c r="I184" s="4">
        <f>IF(DynamicTable1[[#This Row],[Permite agregar una columna.]]&lt;=6,1,0)</f>
        <v>1</v>
      </c>
      <c r="J184" s="6" t="str">
        <f>TEXT(DynamicTable1[[#This Row],[Fecha de creación]],"DDDD")</f>
        <v>jueves</v>
      </c>
      <c r="K184" s="6">
        <f>IF(DynamicTable1[[#This Row],[dia]]="Viernes",4,IF(DynamicTable1[[#This Row],[dia]]="Sábado",2,IF(DynamicTable1[[#This Row],[dia]]="Domingo",1,0)))</f>
        <v>0</v>
      </c>
    </row>
    <row r="185" spans="1:11" hidden="1" x14ac:dyDescent="0.25">
      <c r="A185" t="s">
        <v>400</v>
      </c>
      <c r="B185" t="s">
        <v>19</v>
      </c>
      <c r="C185" t="s">
        <v>12</v>
      </c>
      <c r="D185" t="s">
        <v>11</v>
      </c>
      <c r="E185" t="s">
        <v>401</v>
      </c>
      <c r="F185" s="8">
        <v>46135</v>
      </c>
      <c r="G185" s="8">
        <v>46135</v>
      </c>
      <c r="H185" s="6">
        <f>DynamicTable1[[#This Row],[Fecha de cierre]]-DynamicTable1[[#This Row],[Fecha de creación]]</f>
        <v>0</v>
      </c>
      <c r="I185" s="4">
        <f>IF(DynamicTable1[[#This Row],[Permite agregar una columna.]]&lt;=6,1,0)</f>
        <v>1</v>
      </c>
      <c r="J185" s="6" t="str">
        <f>TEXT(DynamicTable1[[#This Row],[Fecha de creación]],"DDDD")</f>
        <v>jueves</v>
      </c>
      <c r="K185" s="6">
        <f>IF(DynamicTable1[[#This Row],[dia]]="Viernes",4,IF(DynamicTable1[[#This Row],[dia]]="Sábado",2,IF(DynamicTable1[[#This Row],[dia]]="Domingo",1,0)))</f>
        <v>0</v>
      </c>
    </row>
    <row r="186" spans="1:11" hidden="1" x14ac:dyDescent="0.25">
      <c r="A186" t="s">
        <v>402</v>
      </c>
      <c r="B186" t="s">
        <v>19</v>
      </c>
      <c r="C186" t="s">
        <v>12</v>
      </c>
      <c r="D186" t="s">
        <v>11</v>
      </c>
      <c r="E186" t="s">
        <v>403</v>
      </c>
      <c r="F186" s="8">
        <v>46135</v>
      </c>
      <c r="G186" s="8">
        <v>46136</v>
      </c>
      <c r="H186" s="6">
        <f>DynamicTable1[[#This Row],[Fecha de cierre]]-DynamicTable1[[#This Row],[Fecha de creación]]</f>
        <v>1</v>
      </c>
      <c r="I186" s="4">
        <f>IF(DynamicTable1[[#This Row],[Permite agregar una columna.]]&lt;=6,1,0)</f>
        <v>1</v>
      </c>
      <c r="J186" s="6" t="str">
        <f>TEXT(DynamicTable1[[#This Row],[Fecha de creación]],"DDDD")</f>
        <v>jueves</v>
      </c>
      <c r="K186" s="6">
        <f>IF(DynamicTable1[[#This Row],[dia]]="Viernes",4,IF(DynamicTable1[[#This Row],[dia]]="Sábado",2,IF(DynamicTable1[[#This Row],[dia]]="Domingo",1,0)))</f>
        <v>0</v>
      </c>
    </row>
    <row r="187" spans="1:11" hidden="1" x14ac:dyDescent="0.25">
      <c r="A187" t="s">
        <v>404</v>
      </c>
      <c r="B187" t="s">
        <v>27</v>
      </c>
      <c r="C187" t="s">
        <v>20</v>
      </c>
      <c r="D187" t="s">
        <v>21</v>
      </c>
      <c r="E187" t="s">
        <v>405</v>
      </c>
      <c r="F187" s="8">
        <v>46135</v>
      </c>
      <c r="G187" s="8"/>
      <c r="H187" s="6">
        <f>DynamicTable1[[#This Row],[Fecha de cierre]]-DynamicTable1[[#This Row],[Fecha de creación]]</f>
        <v>-46135</v>
      </c>
      <c r="I187" s="4">
        <f>IF(DynamicTable1[[#This Row],[Permite agregar una columna.]]&lt;=6,1,0)</f>
        <v>1</v>
      </c>
      <c r="J187" s="6" t="str">
        <f>TEXT(DynamicTable1[[#This Row],[Fecha de creación]],"DDDD")</f>
        <v>jueves</v>
      </c>
      <c r="K187" s="6">
        <f>IF(DynamicTable1[[#This Row],[dia]]="Viernes",4,IF(DynamicTable1[[#This Row],[dia]]="Sábado",2,IF(DynamicTable1[[#This Row],[dia]]="Domingo",1,0)))</f>
        <v>0</v>
      </c>
    </row>
    <row r="188" spans="1:11" x14ac:dyDescent="0.25">
      <c r="A188" t="s">
        <v>406</v>
      </c>
      <c r="B188" t="s">
        <v>15</v>
      </c>
      <c r="C188" t="s">
        <v>24</v>
      </c>
      <c r="D188" t="s">
        <v>11</v>
      </c>
      <c r="E188" t="s">
        <v>407</v>
      </c>
      <c r="F188" s="8">
        <v>46135</v>
      </c>
      <c r="G188" s="8">
        <v>46140</v>
      </c>
      <c r="H188" s="6">
        <f>DynamicTable1[[#This Row],[Fecha de cierre]]-DynamicTable1[[#This Row],[Fecha de creación]]</f>
        <v>5</v>
      </c>
      <c r="I188" s="4">
        <f>IF(DynamicTable1[[#This Row],[Permite agregar una columna.]]&lt;=6,1,0)</f>
        <v>1</v>
      </c>
      <c r="J188" s="6" t="str">
        <f>TEXT(DynamicTable1[[#This Row],[Fecha de creación]],"DDDD")</f>
        <v>jueves</v>
      </c>
      <c r="K188" s="6">
        <f>IF(DynamicTable1[[#This Row],[dia]]="Viernes",4,IF(DynamicTable1[[#This Row],[dia]]="Sábado",2,IF(DynamicTable1[[#This Row],[dia]]="Domingo",1,0)))</f>
        <v>0</v>
      </c>
    </row>
    <row r="189" spans="1:11" x14ac:dyDescent="0.25">
      <c r="A189" t="s">
        <v>408</v>
      </c>
      <c r="B189" t="s">
        <v>23</v>
      </c>
      <c r="C189" t="s">
        <v>24</v>
      </c>
      <c r="D189" t="s">
        <v>11</v>
      </c>
      <c r="E189" t="s">
        <v>409</v>
      </c>
      <c r="F189" s="8">
        <v>46135</v>
      </c>
      <c r="G189" s="8">
        <v>46136</v>
      </c>
      <c r="H189" s="6">
        <f>DynamicTable1[[#This Row],[Fecha de cierre]]-DynamicTable1[[#This Row],[Fecha de creación]]</f>
        <v>1</v>
      </c>
      <c r="I189" s="4">
        <f>IF(DynamicTable1[[#This Row],[Permite agregar una columna.]]&lt;=6,1,0)</f>
        <v>1</v>
      </c>
      <c r="J189" s="6" t="str">
        <f>TEXT(DynamicTable1[[#This Row],[Fecha de creación]],"DDDD")</f>
        <v>jueves</v>
      </c>
      <c r="K189" s="6">
        <f>IF(DynamicTable1[[#This Row],[dia]]="Viernes",4,IF(DynamicTable1[[#This Row],[dia]]="Sábado",2,IF(DynamicTable1[[#This Row],[dia]]="Domingo",1,0)))</f>
        <v>0</v>
      </c>
    </row>
    <row r="190" spans="1:11" x14ac:dyDescent="0.25">
      <c r="A190" t="s">
        <v>410</v>
      </c>
      <c r="B190" t="s">
        <v>23</v>
      </c>
      <c r="C190" t="s">
        <v>24</v>
      </c>
      <c r="D190" t="s">
        <v>11</v>
      </c>
      <c r="E190" t="s">
        <v>411</v>
      </c>
      <c r="F190" s="8">
        <v>46135</v>
      </c>
      <c r="G190" s="8">
        <v>46136</v>
      </c>
      <c r="H190" s="6">
        <f>DynamicTable1[[#This Row],[Fecha de cierre]]-DynamicTable1[[#This Row],[Fecha de creación]]</f>
        <v>1</v>
      </c>
      <c r="I190" s="4">
        <f>IF(DynamicTable1[[#This Row],[Permite agregar una columna.]]&lt;=6,1,0)</f>
        <v>1</v>
      </c>
      <c r="J190" s="6" t="str">
        <f>TEXT(DynamicTable1[[#This Row],[Fecha de creación]],"DDDD")</f>
        <v>jueves</v>
      </c>
      <c r="K190" s="6">
        <f>IF(DynamicTable1[[#This Row],[dia]]="Viernes",4,IF(DynamicTable1[[#This Row],[dia]]="Sábado",2,IF(DynamicTable1[[#This Row],[dia]]="Domingo",1,0)))</f>
        <v>0</v>
      </c>
    </row>
    <row r="191" spans="1:11" x14ac:dyDescent="0.25">
      <c r="A191" t="s">
        <v>412</v>
      </c>
      <c r="B191" t="s">
        <v>13</v>
      </c>
      <c r="C191" t="s">
        <v>24</v>
      </c>
      <c r="D191" t="s">
        <v>11</v>
      </c>
      <c r="E191" t="s">
        <v>413</v>
      </c>
      <c r="F191" s="8">
        <v>46135</v>
      </c>
      <c r="G191" s="8">
        <v>46136</v>
      </c>
      <c r="H191" s="6">
        <f>DynamicTable1[[#This Row],[Fecha de cierre]]-DynamicTable1[[#This Row],[Fecha de creación]]</f>
        <v>1</v>
      </c>
      <c r="I191" s="4">
        <f>IF(DynamicTable1[[#This Row],[Permite agregar una columna.]]&lt;=6,1,0)</f>
        <v>1</v>
      </c>
      <c r="J191" s="6" t="str">
        <f>TEXT(DynamicTable1[[#This Row],[Fecha de creación]],"DDDD")</f>
        <v>jueves</v>
      </c>
      <c r="K191" s="6">
        <f>IF(DynamicTable1[[#This Row],[dia]]="Viernes",4,IF(DynamicTable1[[#This Row],[dia]]="Sábado",2,IF(DynamicTable1[[#This Row],[dia]]="Domingo",1,0)))</f>
        <v>0</v>
      </c>
    </row>
    <row r="192" spans="1:11" x14ac:dyDescent="0.25">
      <c r="A192" t="s">
        <v>414</v>
      </c>
      <c r="B192" t="s">
        <v>13</v>
      </c>
      <c r="C192" t="s">
        <v>24</v>
      </c>
      <c r="D192" t="s">
        <v>11</v>
      </c>
      <c r="E192" t="s">
        <v>415</v>
      </c>
      <c r="F192" s="8">
        <v>46136</v>
      </c>
      <c r="G192" s="8">
        <v>46136</v>
      </c>
      <c r="H192" s="6">
        <f>DynamicTable1[[#This Row],[Fecha de cierre]]-DynamicTable1[[#This Row],[Fecha de creación]]</f>
        <v>0</v>
      </c>
      <c r="I192" s="4">
        <f>IF(DynamicTable1[[#This Row],[Permite agregar una columna.]]&lt;=6,1,0)</f>
        <v>1</v>
      </c>
      <c r="J192" s="6" t="str">
        <f>TEXT(DynamicTable1[[#This Row],[Fecha de creación]],"DDDD")</f>
        <v>viernes</v>
      </c>
      <c r="K192" s="6">
        <f>IF(DynamicTable1[[#This Row],[dia]]="Viernes",4,IF(DynamicTable1[[#This Row],[dia]]="Sábado",2,IF(DynamicTable1[[#This Row],[dia]]="Domingo",1,0)))</f>
        <v>4</v>
      </c>
    </row>
    <row r="193" spans="1:11" x14ac:dyDescent="0.25">
      <c r="A193" t="s">
        <v>416</v>
      </c>
      <c r="B193" t="s">
        <v>19</v>
      </c>
      <c r="C193" t="s">
        <v>24</v>
      </c>
      <c r="D193" t="s">
        <v>11</v>
      </c>
      <c r="E193" t="s">
        <v>417</v>
      </c>
      <c r="F193" s="8">
        <v>46136</v>
      </c>
      <c r="G193" s="8">
        <v>46136</v>
      </c>
      <c r="H193" s="6">
        <f>DynamicTable1[[#This Row],[Fecha de cierre]]-DynamicTable1[[#This Row],[Fecha de creación]]</f>
        <v>0</v>
      </c>
      <c r="I193" s="4">
        <f>IF(DynamicTable1[[#This Row],[Permite agregar una columna.]]&lt;=6,1,0)</f>
        <v>1</v>
      </c>
      <c r="J193" s="6" t="str">
        <f>TEXT(DynamicTable1[[#This Row],[Fecha de creación]],"DDDD")</f>
        <v>viernes</v>
      </c>
      <c r="K193" s="6">
        <f>IF(DynamicTable1[[#This Row],[dia]]="Viernes",4,IF(DynamicTable1[[#This Row],[dia]]="Sábado",2,IF(DynamicTable1[[#This Row],[dia]]="Domingo",1,0)))</f>
        <v>4</v>
      </c>
    </row>
    <row r="194" spans="1:11" hidden="1" x14ac:dyDescent="0.25">
      <c r="A194" t="s">
        <v>418</v>
      </c>
      <c r="B194" t="s">
        <v>13</v>
      </c>
      <c r="C194" t="s">
        <v>20</v>
      </c>
      <c r="D194" t="s">
        <v>21</v>
      </c>
      <c r="E194" t="s">
        <v>419</v>
      </c>
      <c r="F194" s="8">
        <v>46136</v>
      </c>
      <c r="G194" s="8"/>
      <c r="H194" s="6">
        <f>DynamicTable1[[#This Row],[Fecha de cierre]]-DynamicTable1[[#This Row],[Fecha de creación]]</f>
        <v>-46136</v>
      </c>
      <c r="I194" s="4">
        <f>IF(DynamicTable1[[#This Row],[Permite agregar una columna.]]&lt;=6,1,0)</f>
        <v>1</v>
      </c>
      <c r="J194" s="6" t="str">
        <f>TEXT(DynamicTable1[[#This Row],[Fecha de creación]],"DDDD")</f>
        <v>viernes</v>
      </c>
      <c r="K194" s="6">
        <f>IF(DynamicTable1[[#This Row],[dia]]="Viernes",4,IF(DynamicTable1[[#This Row],[dia]]="Sábado",2,IF(DynamicTable1[[#This Row],[dia]]="Domingo",1,0)))</f>
        <v>4</v>
      </c>
    </row>
    <row r="195" spans="1:11" hidden="1" x14ac:dyDescent="0.25">
      <c r="A195" t="s">
        <v>420</v>
      </c>
      <c r="B195" t="s">
        <v>18</v>
      </c>
      <c r="C195" t="s">
        <v>20</v>
      </c>
      <c r="D195" t="s">
        <v>21</v>
      </c>
      <c r="E195" t="s">
        <v>421</v>
      </c>
      <c r="F195" s="8">
        <v>46136</v>
      </c>
      <c r="G195" s="8"/>
      <c r="H195" s="6">
        <f>DynamicTable1[[#This Row],[Fecha de cierre]]-DynamicTable1[[#This Row],[Fecha de creación]]</f>
        <v>-46136</v>
      </c>
      <c r="I195" s="4">
        <f>IF(DynamicTable1[[#This Row],[Permite agregar una columna.]]&lt;=6,1,0)</f>
        <v>1</v>
      </c>
      <c r="J195" s="6" t="str">
        <f>TEXT(DynamicTable1[[#This Row],[Fecha de creación]],"DDDD")</f>
        <v>viernes</v>
      </c>
      <c r="K195" s="6">
        <f>IF(DynamicTable1[[#This Row],[dia]]="Viernes",4,IF(DynamicTable1[[#This Row],[dia]]="Sábado",2,IF(DynamicTable1[[#This Row],[dia]]="Domingo",1,0)))</f>
        <v>4</v>
      </c>
    </row>
    <row r="196" spans="1:11" x14ac:dyDescent="0.25">
      <c r="A196" t="s">
        <v>422</v>
      </c>
      <c r="B196" t="s">
        <v>14</v>
      </c>
      <c r="C196" t="s">
        <v>31</v>
      </c>
      <c r="D196" t="s">
        <v>11</v>
      </c>
      <c r="E196" t="s">
        <v>423</v>
      </c>
      <c r="F196" s="8">
        <v>46136</v>
      </c>
      <c r="G196" s="8">
        <v>46140</v>
      </c>
      <c r="H196" s="6">
        <f>DynamicTable1[[#This Row],[Fecha de cierre]]-DynamicTable1[[#This Row],[Fecha de creación]]</f>
        <v>4</v>
      </c>
      <c r="I196" s="4">
        <f>IF(DynamicTable1[[#This Row],[Permite agregar una columna.]]&lt;=6,1,0)</f>
        <v>1</v>
      </c>
      <c r="J196" s="6" t="str">
        <f>TEXT(DynamicTable1[[#This Row],[Fecha de creación]],"DDDD")</f>
        <v>viernes</v>
      </c>
      <c r="K196" s="6">
        <f>IF(DynamicTable1[[#This Row],[dia]]="Viernes",4,IF(DynamicTable1[[#This Row],[dia]]="Sábado",2,IF(DynamicTable1[[#This Row],[dia]]="Domingo",1,0)))</f>
        <v>4</v>
      </c>
    </row>
    <row r="197" spans="1:11" hidden="1" x14ac:dyDescent="0.25">
      <c r="A197" t="s">
        <v>424</v>
      </c>
      <c r="B197" t="s">
        <v>13</v>
      </c>
      <c r="C197"/>
      <c r="D197" t="s">
        <v>11</v>
      </c>
      <c r="E197" t="s">
        <v>425</v>
      </c>
      <c r="F197" s="8">
        <v>46136</v>
      </c>
      <c r="G197" s="8">
        <v>46136</v>
      </c>
      <c r="H197" s="6">
        <f>DynamicTable1[[#This Row],[Fecha de cierre]]-DynamicTable1[[#This Row],[Fecha de creación]]</f>
        <v>0</v>
      </c>
      <c r="I197" s="4">
        <f>IF(DynamicTable1[[#This Row],[Permite agregar una columna.]]&lt;=6,1,0)</f>
        <v>1</v>
      </c>
      <c r="J197" s="6" t="str">
        <f>TEXT(DynamicTable1[[#This Row],[Fecha de creación]],"DDDD")</f>
        <v>viernes</v>
      </c>
      <c r="K197" s="6">
        <f>IF(DynamicTable1[[#This Row],[dia]]="Viernes",4,IF(DynamicTable1[[#This Row],[dia]]="Sábado",2,IF(DynamicTable1[[#This Row],[dia]]="Domingo",1,0)))</f>
        <v>4</v>
      </c>
    </row>
    <row r="198" spans="1:11" x14ac:dyDescent="0.25">
      <c r="A198" t="s">
        <v>426</v>
      </c>
      <c r="B198" t="s">
        <v>13</v>
      </c>
      <c r="C198" t="s">
        <v>24</v>
      </c>
      <c r="D198" t="s">
        <v>11</v>
      </c>
      <c r="E198" t="s">
        <v>427</v>
      </c>
      <c r="F198" s="8">
        <v>46136</v>
      </c>
      <c r="G198" s="8">
        <v>46136</v>
      </c>
      <c r="H198" s="6">
        <f>DynamicTable1[[#This Row],[Fecha de cierre]]-DynamicTable1[[#This Row],[Fecha de creación]]</f>
        <v>0</v>
      </c>
      <c r="I198" s="4">
        <f>IF(DynamicTable1[[#This Row],[Permite agregar una columna.]]&lt;=6,1,0)</f>
        <v>1</v>
      </c>
      <c r="J198" s="6" t="str">
        <f>TEXT(DynamicTable1[[#This Row],[Fecha de creación]],"DDDD")</f>
        <v>viernes</v>
      </c>
      <c r="K198" s="6">
        <f>IF(DynamicTable1[[#This Row],[dia]]="Viernes",4,IF(DynamicTable1[[#This Row],[dia]]="Sábado",2,IF(DynamicTable1[[#This Row],[dia]]="Domingo",1,0)))</f>
        <v>4</v>
      </c>
    </row>
    <row r="199" spans="1:11" hidden="1" x14ac:dyDescent="0.25">
      <c r="A199" t="s">
        <v>428</v>
      </c>
      <c r="B199" t="s">
        <v>19</v>
      </c>
      <c r="C199" t="s">
        <v>20</v>
      </c>
      <c r="D199" t="s">
        <v>11</v>
      </c>
      <c r="E199" t="s">
        <v>429</v>
      </c>
      <c r="F199" s="8">
        <v>46136</v>
      </c>
      <c r="G199" s="8">
        <v>46136</v>
      </c>
      <c r="H199" s="6">
        <f>DynamicTable1[[#This Row],[Fecha de cierre]]-DynamicTable1[[#This Row],[Fecha de creación]]</f>
        <v>0</v>
      </c>
      <c r="I199" s="4">
        <f>IF(DynamicTable1[[#This Row],[Permite agregar una columna.]]&lt;=6,1,0)</f>
        <v>1</v>
      </c>
      <c r="J199" s="6" t="str">
        <f>TEXT(DynamicTable1[[#This Row],[Fecha de creación]],"DDDD")</f>
        <v>viernes</v>
      </c>
      <c r="K199" s="6">
        <f>IF(DynamicTable1[[#This Row],[dia]]="Viernes",4,IF(DynamicTable1[[#This Row],[dia]]="Sábado",2,IF(DynamicTable1[[#This Row],[dia]]="Domingo",1,0)))</f>
        <v>4</v>
      </c>
    </row>
    <row r="200" spans="1:11" x14ac:dyDescent="0.25">
      <c r="A200" t="s">
        <v>430</v>
      </c>
      <c r="B200" t="s">
        <v>14</v>
      </c>
      <c r="C200" t="s">
        <v>24</v>
      </c>
      <c r="D200" t="s">
        <v>11</v>
      </c>
      <c r="E200" t="s">
        <v>431</v>
      </c>
      <c r="F200" s="8">
        <v>46136</v>
      </c>
      <c r="G200" s="8">
        <v>46139</v>
      </c>
      <c r="H200" s="6">
        <f>DynamicTable1[[#This Row],[Fecha de cierre]]-DynamicTable1[[#This Row],[Fecha de creación]]</f>
        <v>3</v>
      </c>
      <c r="I200" s="4">
        <f>IF(DynamicTable1[[#This Row],[Permite agregar una columna.]]&lt;=6,1,0)</f>
        <v>1</v>
      </c>
      <c r="J200" s="6" t="str">
        <f>TEXT(DynamicTable1[[#This Row],[Fecha de creación]],"DDDD")</f>
        <v>viernes</v>
      </c>
      <c r="K200" s="6">
        <f>IF(DynamicTable1[[#This Row],[dia]]="Viernes",4,IF(DynamicTable1[[#This Row],[dia]]="Sábado",2,IF(DynamicTable1[[#This Row],[dia]]="Domingo",1,0)))</f>
        <v>4</v>
      </c>
    </row>
    <row r="201" spans="1:11" x14ac:dyDescent="0.25">
      <c r="A201" t="s">
        <v>432</v>
      </c>
      <c r="B201" t="s">
        <v>14</v>
      </c>
      <c r="C201" t="s">
        <v>24</v>
      </c>
      <c r="D201" t="s">
        <v>11</v>
      </c>
      <c r="E201" t="s">
        <v>433</v>
      </c>
      <c r="F201" s="8">
        <v>46136</v>
      </c>
      <c r="G201" s="8">
        <v>46139</v>
      </c>
      <c r="H201" s="6">
        <f>DynamicTable1[[#This Row],[Fecha de cierre]]-DynamicTable1[[#This Row],[Fecha de creación]]</f>
        <v>3</v>
      </c>
      <c r="I201" s="4">
        <f>IF(DynamicTable1[[#This Row],[Permite agregar una columna.]]&lt;=6,1,0)</f>
        <v>1</v>
      </c>
      <c r="J201" s="6" t="str">
        <f>TEXT(DynamicTable1[[#This Row],[Fecha de creación]],"DDDD")</f>
        <v>viernes</v>
      </c>
      <c r="K201" s="6">
        <f>IF(DynamicTable1[[#This Row],[dia]]="Viernes",4,IF(DynamicTable1[[#This Row],[dia]]="Sábado",2,IF(DynamicTable1[[#This Row],[dia]]="Domingo",1,0)))</f>
        <v>4</v>
      </c>
    </row>
    <row r="202" spans="1:11" x14ac:dyDescent="0.25">
      <c r="A202" t="s">
        <v>434</v>
      </c>
      <c r="B202" t="s">
        <v>17</v>
      </c>
      <c r="C202" t="s">
        <v>24</v>
      </c>
      <c r="D202" t="s">
        <v>11</v>
      </c>
      <c r="E202" t="s">
        <v>435</v>
      </c>
      <c r="F202" s="8">
        <v>46136</v>
      </c>
      <c r="G202" s="8">
        <v>46139</v>
      </c>
      <c r="H202" s="6">
        <f>DynamicTable1[[#This Row],[Fecha de cierre]]-DynamicTable1[[#This Row],[Fecha de creación]]</f>
        <v>3</v>
      </c>
      <c r="I202" s="4">
        <f>IF(DynamicTable1[[#This Row],[Permite agregar una columna.]]&lt;=6,1,0)</f>
        <v>1</v>
      </c>
      <c r="J202" s="6" t="str">
        <f>TEXT(DynamicTable1[[#This Row],[Fecha de creación]],"DDDD")</f>
        <v>viernes</v>
      </c>
      <c r="K202" s="6">
        <f>IF(DynamicTable1[[#This Row],[dia]]="Viernes",4,IF(DynamicTable1[[#This Row],[dia]]="Sábado",2,IF(DynamicTable1[[#This Row],[dia]]="Domingo",1,0)))</f>
        <v>4</v>
      </c>
    </row>
    <row r="203" spans="1:11" x14ac:dyDescent="0.25">
      <c r="A203" t="s">
        <v>240</v>
      </c>
      <c r="B203" t="s">
        <v>14</v>
      </c>
      <c r="C203" t="s">
        <v>24</v>
      </c>
      <c r="D203" t="s">
        <v>11</v>
      </c>
      <c r="E203" t="s">
        <v>436</v>
      </c>
      <c r="F203" s="8">
        <v>46136</v>
      </c>
      <c r="G203" s="8">
        <v>46139</v>
      </c>
      <c r="H203" s="6">
        <f>DynamicTable1[[#This Row],[Fecha de cierre]]-DynamicTable1[[#This Row],[Fecha de creación]]</f>
        <v>3</v>
      </c>
      <c r="I203" s="4">
        <f>IF(DynamicTable1[[#This Row],[Permite agregar una columna.]]&lt;=6,1,0)</f>
        <v>1</v>
      </c>
      <c r="J203" s="6" t="str">
        <f>TEXT(DynamicTable1[[#This Row],[Fecha de creación]],"DDDD")</f>
        <v>viernes</v>
      </c>
      <c r="K203" s="6">
        <f>IF(DynamicTable1[[#This Row],[dia]]="Viernes",4,IF(DynamicTable1[[#This Row],[dia]]="Sábado",2,IF(DynamicTable1[[#This Row],[dia]]="Domingo",1,0)))</f>
        <v>4</v>
      </c>
    </row>
    <row r="204" spans="1:11" x14ac:dyDescent="0.25">
      <c r="A204" t="s">
        <v>437</v>
      </c>
      <c r="B204" t="s">
        <v>14</v>
      </c>
      <c r="C204" t="s">
        <v>24</v>
      </c>
      <c r="D204" t="s">
        <v>11</v>
      </c>
      <c r="E204" t="s">
        <v>438</v>
      </c>
      <c r="F204" s="8">
        <v>46137</v>
      </c>
      <c r="G204" s="8">
        <v>46139</v>
      </c>
      <c r="H204" s="6">
        <f>DynamicTable1[[#This Row],[Fecha de cierre]]-DynamicTable1[[#This Row],[Fecha de creación]]</f>
        <v>2</v>
      </c>
      <c r="I204" s="4">
        <f>IF(DynamicTable1[[#This Row],[Permite agregar una columna.]]&lt;=6,1,0)</f>
        <v>1</v>
      </c>
      <c r="J204" s="6" t="str">
        <f>TEXT(DynamicTable1[[#This Row],[Fecha de creación]],"DDDD")</f>
        <v>sábado</v>
      </c>
      <c r="K204" s="6">
        <f>IF(DynamicTable1[[#This Row],[dia]]="Viernes",4,IF(DynamicTable1[[#This Row],[dia]]="Sábado",2,IF(DynamicTable1[[#This Row],[dia]]="Domingo",1,0)))</f>
        <v>2</v>
      </c>
    </row>
    <row r="205" spans="1:11" x14ac:dyDescent="0.25">
      <c r="A205" t="s">
        <v>439</v>
      </c>
      <c r="B205" t="s">
        <v>14</v>
      </c>
      <c r="C205" t="s">
        <v>24</v>
      </c>
      <c r="D205" t="s">
        <v>11</v>
      </c>
      <c r="E205" t="s">
        <v>440</v>
      </c>
      <c r="F205" s="8">
        <v>46137</v>
      </c>
      <c r="G205" s="8">
        <v>46139</v>
      </c>
      <c r="H205" s="6">
        <f>DynamicTable1[[#This Row],[Fecha de cierre]]-DynamicTable1[[#This Row],[Fecha de creación]]</f>
        <v>2</v>
      </c>
      <c r="I205" s="4">
        <f>IF(DynamicTable1[[#This Row],[Permite agregar una columna.]]&lt;=6,1,0)</f>
        <v>1</v>
      </c>
      <c r="J205" s="6" t="str">
        <f>TEXT(DynamicTable1[[#This Row],[Fecha de creación]],"DDDD")</f>
        <v>sábado</v>
      </c>
      <c r="K205" s="6">
        <f>IF(DynamicTable1[[#This Row],[dia]]="Viernes",4,IF(DynamicTable1[[#This Row],[dia]]="Sábado",2,IF(DynamicTable1[[#This Row],[dia]]="Domingo",1,0)))</f>
        <v>2</v>
      </c>
    </row>
    <row r="206" spans="1:11" hidden="1" x14ac:dyDescent="0.25">
      <c r="A206" t="s">
        <v>441</v>
      </c>
      <c r="B206" t="s">
        <v>23</v>
      </c>
      <c r="C206"/>
      <c r="D206" t="s">
        <v>11</v>
      </c>
      <c r="E206" t="s">
        <v>442</v>
      </c>
      <c r="F206" s="8">
        <v>46137</v>
      </c>
      <c r="G206" s="8">
        <v>46139</v>
      </c>
      <c r="H206" s="6">
        <f>DynamicTable1[[#This Row],[Fecha de cierre]]-DynamicTable1[[#This Row],[Fecha de creación]]</f>
        <v>2</v>
      </c>
      <c r="I206" s="4">
        <f>IF(DynamicTable1[[#This Row],[Permite agregar una columna.]]&lt;=6,1,0)</f>
        <v>1</v>
      </c>
      <c r="J206" s="6" t="str">
        <f>TEXT(DynamicTable1[[#This Row],[Fecha de creación]],"DDDD")</f>
        <v>sábado</v>
      </c>
      <c r="K206" s="6">
        <f>IF(DynamicTable1[[#This Row],[dia]]="Viernes",4,IF(DynamicTable1[[#This Row],[dia]]="Sábado",2,IF(DynamicTable1[[#This Row],[dia]]="Domingo",1,0)))</f>
        <v>2</v>
      </c>
    </row>
    <row r="207" spans="1:11" x14ac:dyDescent="0.25">
      <c r="A207" t="s">
        <v>443</v>
      </c>
      <c r="B207" t="s">
        <v>14</v>
      </c>
      <c r="C207" t="s">
        <v>24</v>
      </c>
      <c r="D207" t="s">
        <v>11</v>
      </c>
      <c r="E207" t="s">
        <v>444</v>
      </c>
      <c r="F207" s="8">
        <v>46137</v>
      </c>
      <c r="G207" s="8">
        <v>46139</v>
      </c>
      <c r="H207" s="6">
        <f>DynamicTable1[[#This Row],[Fecha de cierre]]-DynamicTable1[[#This Row],[Fecha de creación]]</f>
        <v>2</v>
      </c>
      <c r="I207" s="4">
        <f>IF(DynamicTable1[[#This Row],[Permite agregar una columna.]]&lt;=6,1,0)</f>
        <v>1</v>
      </c>
      <c r="J207" s="6" t="str">
        <f>TEXT(DynamicTable1[[#This Row],[Fecha de creación]],"DDDD")</f>
        <v>sábado</v>
      </c>
      <c r="K207" s="6">
        <f>IF(DynamicTable1[[#This Row],[dia]]="Viernes",4,IF(DynamicTable1[[#This Row],[dia]]="Sábado",2,IF(DynamicTable1[[#This Row],[dia]]="Domingo",1,0)))</f>
        <v>2</v>
      </c>
    </row>
    <row r="208" spans="1:11" x14ac:dyDescent="0.25">
      <c r="A208" t="s">
        <v>445</v>
      </c>
      <c r="B208" t="s">
        <v>14</v>
      </c>
      <c r="C208" t="s">
        <v>24</v>
      </c>
      <c r="D208" t="s">
        <v>11</v>
      </c>
      <c r="E208" t="s">
        <v>446</v>
      </c>
      <c r="F208" s="8">
        <v>46137</v>
      </c>
      <c r="G208" s="8">
        <v>46139</v>
      </c>
      <c r="H208" s="6">
        <f>DynamicTable1[[#This Row],[Fecha de cierre]]-DynamicTable1[[#This Row],[Fecha de creación]]</f>
        <v>2</v>
      </c>
      <c r="I208" s="4">
        <f>IF(DynamicTable1[[#This Row],[Permite agregar una columna.]]&lt;=6,1,0)</f>
        <v>1</v>
      </c>
      <c r="J208" s="6" t="str">
        <f>TEXT(DynamicTable1[[#This Row],[Fecha de creación]],"DDDD")</f>
        <v>sábado</v>
      </c>
      <c r="K208" s="6">
        <f>IF(DynamicTable1[[#This Row],[dia]]="Viernes",4,IF(DynamicTable1[[#This Row],[dia]]="Sábado",2,IF(DynamicTable1[[#This Row],[dia]]="Domingo",1,0)))</f>
        <v>2</v>
      </c>
    </row>
    <row r="209" spans="1:11" x14ac:dyDescent="0.25">
      <c r="A209" t="s">
        <v>447</v>
      </c>
      <c r="B209" t="s">
        <v>14</v>
      </c>
      <c r="C209" t="s">
        <v>24</v>
      </c>
      <c r="D209" t="s">
        <v>11</v>
      </c>
      <c r="E209" t="s">
        <v>448</v>
      </c>
      <c r="F209" s="8">
        <v>46137</v>
      </c>
      <c r="G209" s="8">
        <v>46139</v>
      </c>
      <c r="H209" s="6">
        <f>DynamicTable1[[#This Row],[Fecha de cierre]]-DynamicTable1[[#This Row],[Fecha de creación]]</f>
        <v>2</v>
      </c>
      <c r="I209" s="4">
        <f>IF(DynamicTable1[[#This Row],[Permite agregar una columna.]]&lt;=6,1,0)</f>
        <v>1</v>
      </c>
      <c r="J209" s="6" t="str">
        <f>TEXT(DynamicTable1[[#This Row],[Fecha de creación]],"DDDD")</f>
        <v>sábado</v>
      </c>
      <c r="K209" s="6">
        <f>IF(DynamicTable1[[#This Row],[dia]]="Viernes",4,IF(DynamicTable1[[#This Row],[dia]]="Sábado",2,IF(DynamicTable1[[#This Row],[dia]]="Domingo",1,0)))</f>
        <v>2</v>
      </c>
    </row>
    <row r="210" spans="1:11" x14ac:dyDescent="0.25">
      <c r="A210" t="s">
        <v>449</v>
      </c>
      <c r="B210" t="s">
        <v>14</v>
      </c>
      <c r="C210" t="s">
        <v>24</v>
      </c>
      <c r="D210" t="s">
        <v>11</v>
      </c>
      <c r="E210" t="s">
        <v>450</v>
      </c>
      <c r="F210" s="8">
        <v>46138</v>
      </c>
      <c r="G210" s="8">
        <v>46139</v>
      </c>
      <c r="H210" s="6">
        <f>DynamicTable1[[#This Row],[Fecha de cierre]]-DynamicTable1[[#This Row],[Fecha de creación]]</f>
        <v>1</v>
      </c>
      <c r="I210" s="4">
        <f>IF(DynamicTable1[[#This Row],[Permite agregar una columna.]]&lt;=6,1,0)</f>
        <v>1</v>
      </c>
      <c r="J210" s="6" t="str">
        <f>TEXT(DynamicTable1[[#This Row],[Fecha de creación]],"DDDD")</f>
        <v>domingo</v>
      </c>
      <c r="K210" s="6">
        <f>IF(DynamicTable1[[#This Row],[dia]]="Viernes",4,IF(DynamicTable1[[#This Row],[dia]]="Sábado",2,IF(DynamicTable1[[#This Row],[dia]]="Domingo",1,0)))</f>
        <v>1</v>
      </c>
    </row>
    <row r="211" spans="1:11" x14ac:dyDescent="0.25">
      <c r="A211" t="s">
        <v>451</v>
      </c>
      <c r="B211" t="s">
        <v>13</v>
      </c>
      <c r="C211" t="s">
        <v>24</v>
      </c>
      <c r="D211" t="s">
        <v>11</v>
      </c>
      <c r="E211" t="s">
        <v>452</v>
      </c>
      <c r="F211" s="8">
        <v>46139</v>
      </c>
      <c r="G211" s="8">
        <v>46139</v>
      </c>
      <c r="H211" s="6">
        <f>DynamicTable1[[#This Row],[Fecha de cierre]]-DynamicTable1[[#This Row],[Fecha de creación]]</f>
        <v>0</v>
      </c>
      <c r="I211" s="4">
        <f>IF(DynamicTable1[[#This Row],[Permite agregar una columna.]]&lt;=6,1,0)</f>
        <v>1</v>
      </c>
      <c r="J211" s="6" t="str">
        <f>TEXT(DynamicTable1[[#This Row],[Fecha de creación]],"DDDD")</f>
        <v>lunes</v>
      </c>
      <c r="K211" s="6">
        <f>IF(DynamicTable1[[#This Row],[dia]]="Viernes",4,IF(DynamicTable1[[#This Row],[dia]]="Sábado",2,IF(DynamicTable1[[#This Row],[dia]]="Domingo",1,0)))</f>
        <v>0</v>
      </c>
    </row>
    <row r="212" spans="1:11" x14ac:dyDescent="0.25">
      <c r="A212" t="s">
        <v>453</v>
      </c>
      <c r="B212" t="s">
        <v>15</v>
      </c>
      <c r="C212" t="s">
        <v>454</v>
      </c>
      <c r="D212" t="s">
        <v>11</v>
      </c>
      <c r="E212" t="s">
        <v>455</v>
      </c>
      <c r="F212" s="8">
        <v>46139</v>
      </c>
      <c r="G212" s="8">
        <v>46140</v>
      </c>
      <c r="H212" s="6">
        <f>DynamicTable1[[#This Row],[Fecha de cierre]]-DynamicTable1[[#This Row],[Fecha de creación]]</f>
        <v>1</v>
      </c>
      <c r="I212" s="4">
        <f>IF(DynamicTable1[[#This Row],[Permite agregar una columna.]]&lt;=6,1,0)</f>
        <v>1</v>
      </c>
      <c r="J212" s="6" t="str">
        <f>TEXT(DynamicTable1[[#This Row],[Fecha de creación]],"DDDD")</f>
        <v>lunes</v>
      </c>
      <c r="K212" s="6">
        <f>IF(DynamicTable1[[#This Row],[dia]]="Viernes",4,IF(DynamicTable1[[#This Row],[dia]]="Sábado",2,IF(DynamicTable1[[#This Row],[dia]]="Domingo",1,0)))</f>
        <v>0</v>
      </c>
    </row>
    <row r="213" spans="1:11" hidden="1" x14ac:dyDescent="0.25">
      <c r="A213" t="s">
        <v>456</v>
      </c>
      <c r="B213" t="s">
        <v>13</v>
      </c>
      <c r="C213" t="s">
        <v>20</v>
      </c>
      <c r="D213" t="s">
        <v>11</v>
      </c>
      <c r="E213" t="s">
        <v>457</v>
      </c>
      <c r="F213" s="8">
        <v>46139</v>
      </c>
      <c r="G213" s="8">
        <v>46141</v>
      </c>
      <c r="H213" s="6">
        <f>DynamicTable1[[#This Row],[Fecha de cierre]]-DynamicTable1[[#This Row],[Fecha de creación]]</f>
        <v>2</v>
      </c>
      <c r="I213" s="4">
        <f>IF(DynamicTable1[[#This Row],[Permite agregar una columna.]]&lt;=6,1,0)</f>
        <v>1</v>
      </c>
      <c r="J213" s="6" t="str">
        <f>TEXT(DynamicTable1[[#This Row],[Fecha de creación]],"DDDD")</f>
        <v>lunes</v>
      </c>
      <c r="K213" s="6">
        <f>IF(DynamicTable1[[#This Row],[dia]]="Viernes",4,IF(DynamicTable1[[#This Row],[dia]]="Sábado",2,IF(DynamicTable1[[#This Row],[dia]]="Domingo",1,0)))</f>
        <v>0</v>
      </c>
    </row>
    <row r="214" spans="1:11" hidden="1" x14ac:dyDescent="0.25">
      <c r="A214" t="s">
        <v>458</v>
      </c>
      <c r="B214" t="s">
        <v>19</v>
      </c>
      <c r="C214"/>
      <c r="D214" t="s">
        <v>11</v>
      </c>
      <c r="E214" t="s">
        <v>459</v>
      </c>
      <c r="F214" s="8">
        <v>46139</v>
      </c>
      <c r="G214" s="8">
        <v>46140</v>
      </c>
      <c r="H214" s="6">
        <f>DynamicTable1[[#This Row],[Fecha de cierre]]-DynamicTable1[[#This Row],[Fecha de creación]]</f>
        <v>1</v>
      </c>
      <c r="I214" s="4">
        <f>IF(DynamicTable1[[#This Row],[Permite agregar una columna.]]&lt;=6,1,0)</f>
        <v>1</v>
      </c>
      <c r="J214" s="6" t="str">
        <f>TEXT(DynamicTable1[[#This Row],[Fecha de creación]],"DDDD")</f>
        <v>lunes</v>
      </c>
      <c r="K214" s="6">
        <f>IF(DynamicTable1[[#This Row],[dia]]="Viernes",4,IF(DynamicTable1[[#This Row],[dia]]="Sábado",2,IF(DynamicTable1[[#This Row],[dia]]="Domingo",1,0)))</f>
        <v>0</v>
      </c>
    </row>
    <row r="215" spans="1:11" x14ac:dyDescent="0.25">
      <c r="A215" t="s">
        <v>460</v>
      </c>
      <c r="B215" t="s">
        <v>13</v>
      </c>
      <c r="C215" t="s">
        <v>24</v>
      </c>
      <c r="D215" t="s">
        <v>11</v>
      </c>
      <c r="E215" t="s">
        <v>461</v>
      </c>
      <c r="F215" s="8">
        <v>46139</v>
      </c>
      <c r="G215" s="8">
        <v>46139</v>
      </c>
      <c r="H215" s="6">
        <f>DynamicTable1[[#This Row],[Fecha de cierre]]-DynamicTable1[[#This Row],[Fecha de creación]]</f>
        <v>0</v>
      </c>
      <c r="I215" s="4">
        <f>IF(DynamicTable1[[#This Row],[Permite agregar una columna.]]&lt;=6,1,0)</f>
        <v>1</v>
      </c>
      <c r="J215" s="6" t="str">
        <f>TEXT(DynamicTable1[[#This Row],[Fecha de creación]],"DDDD")</f>
        <v>lunes</v>
      </c>
      <c r="K215" s="6">
        <f>IF(DynamicTable1[[#This Row],[dia]]="Viernes",4,IF(DynamicTable1[[#This Row],[dia]]="Sábado",2,IF(DynamicTable1[[#This Row],[dia]]="Domingo",1,0)))</f>
        <v>0</v>
      </c>
    </row>
    <row r="216" spans="1:11" hidden="1" x14ac:dyDescent="0.25">
      <c r="A216" t="s">
        <v>462</v>
      </c>
      <c r="B216" t="s">
        <v>19</v>
      </c>
      <c r="C216"/>
      <c r="D216" t="s">
        <v>11</v>
      </c>
      <c r="E216" t="s">
        <v>463</v>
      </c>
      <c r="F216" s="8">
        <v>46139</v>
      </c>
      <c r="G216" s="8">
        <v>46140</v>
      </c>
      <c r="H216" s="6">
        <f>DynamicTable1[[#This Row],[Fecha de cierre]]-DynamicTable1[[#This Row],[Fecha de creación]]</f>
        <v>1</v>
      </c>
      <c r="I216" s="4">
        <f>IF(DynamicTable1[[#This Row],[Permite agregar una columna.]]&lt;=6,1,0)</f>
        <v>1</v>
      </c>
      <c r="J216" s="6" t="str">
        <f>TEXT(DynamicTable1[[#This Row],[Fecha de creación]],"DDDD")</f>
        <v>lunes</v>
      </c>
      <c r="K216" s="6">
        <f>IF(DynamicTable1[[#This Row],[dia]]="Viernes",4,IF(DynamicTable1[[#This Row],[dia]]="Sábado",2,IF(DynamicTable1[[#This Row],[dia]]="Domingo",1,0)))</f>
        <v>0</v>
      </c>
    </row>
    <row r="217" spans="1:11" hidden="1" x14ac:dyDescent="0.25">
      <c r="A217" t="s">
        <v>464</v>
      </c>
      <c r="B217" t="s">
        <v>19</v>
      </c>
      <c r="C217" t="s">
        <v>20</v>
      </c>
      <c r="D217" t="s">
        <v>11</v>
      </c>
      <c r="E217" t="s">
        <v>465</v>
      </c>
      <c r="F217" s="8">
        <v>46139</v>
      </c>
      <c r="G217" s="8">
        <v>46140</v>
      </c>
      <c r="H217" s="6">
        <f>DynamicTable1[[#This Row],[Fecha de cierre]]-DynamicTable1[[#This Row],[Fecha de creación]]</f>
        <v>1</v>
      </c>
      <c r="I217" s="4">
        <f>IF(DynamicTable1[[#This Row],[Permite agregar una columna.]]&lt;=6,1,0)</f>
        <v>1</v>
      </c>
      <c r="J217" s="6" t="str">
        <f>TEXT(DynamicTable1[[#This Row],[Fecha de creación]],"DDDD")</f>
        <v>lunes</v>
      </c>
      <c r="K217" s="6">
        <f>IF(DynamicTable1[[#This Row],[dia]]="Viernes",4,IF(DynamicTable1[[#This Row],[dia]]="Sábado",2,IF(DynamicTable1[[#This Row],[dia]]="Domingo",1,0)))</f>
        <v>0</v>
      </c>
    </row>
    <row r="218" spans="1:11" hidden="1" x14ac:dyDescent="0.25">
      <c r="A218" t="s">
        <v>466</v>
      </c>
      <c r="B218" t="s">
        <v>19</v>
      </c>
      <c r="C218"/>
      <c r="D218" t="s">
        <v>11</v>
      </c>
      <c r="E218" t="s">
        <v>467</v>
      </c>
      <c r="F218" s="8">
        <v>46139</v>
      </c>
      <c r="G218" s="8">
        <v>46139</v>
      </c>
      <c r="H218" s="6">
        <f>DynamicTable1[[#This Row],[Fecha de cierre]]-DynamicTable1[[#This Row],[Fecha de creación]]</f>
        <v>0</v>
      </c>
      <c r="I218" s="4">
        <f>IF(DynamicTable1[[#This Row],[Permite agregar una columna.]]&lt;=6,1,0)</f>
        <v>1</v>
      </c>
      <c r="J218" s="6" t="str">
        <f>TEXT(DynamicTable1[[#This Row],[Fecha de creación]],"DDDD")</f>
        <v>lunes</v>
      </c>
      <c r="K218" s="6">
        <f>IF(DynamicTable1[[#This Row],[dia]]="Viernes",4,IF(DynamicTable1[[#This Row],[dia]]="Sábado",2,IF(DynamicTable1[[#This Row],[dia]]="Domingo",1,0)))</f>
        <v>0</v>
      </c>
    </row>
    <row r="219" spans="1:11" x14ac:dyDescent="0.25">
      <c r="A219" t="s">
        <v>468</v>
      </c>
      <c r="B219" t="s">
        <v>18</v>
      </c>
      <c r="C219" t="s">
        <v>31</v>
      </c>
      <c r="D219" t="s">
        <v>11</v>
      </c>
      <c r="E219" t="s">
        <v>469</v>
      </c>
      <c r="F219" s="8">
        <v>46139</v>
      </c>
      <c r="G219" s="8">
        <v>46142</v>
      </c>
      <c r="H219" s="6">
        <f>DynamicTable1[[#This Row],[Fecha de cierre]]-DynamicTable1[[#This Row],[Fecha de creación]]</f>
        <v>3</v>
      </c>
      <c r="I219" s="4">
        <f>IF(DynamicTable1[[#This Row],[Permite agregar una columna.]]&lt;=6,1,0)</f>
        <v>1</v>
      </c>
      <c r="J219" s="6" t="str">
        <f>TEXT(DynamicTable1[[#This Row],[Fecha de creación]],"DDDD")</f>
        <v>lunes</v>
      </c>
      <c r="K219" s="6">
        <f>IF(DynamicTable1[[#This Row],[dia]]="Viernes",4,IF(DynamicTable1[[#This Row],[dia]]="Sábado",2,IF(DynamicTable1[[#This Row],[dia]]="Domingo",1,0)))</f>
        <v>0</v>
      </c>
    </row>
    <row r="220" spans="1:11" hidden="1" x14ac:dyDescent="0.25">
      <c r="A220" t="s">
        <v>470</v>
      </c>
      <c r="B220" t="s">
        <v>13</v>
      </c>
      <c r="C220"/>
      <c r="D220" t="s">
        <v>11</v>
      </c>
      <c r="E220" t="s">
        <v>471</v>
      </c>
      <c r="F220" s="8">
        <v>46139</v>
      </c>
      <c r="G220" s="8">
        <v>46140</v>
      </c>
      <c r="H220" s="6">
        <f>DynamicTable1[[#This Row],[Fecha de cierre]]-DynamicTable1[[#This Row],[Fecha de creación]]</f>
        <v>1</v>
      </c>
      <c r="I220" s="4">
        <f>IF(DynamicTable1[[#This Row],[Permite agregar una columna.]]&lt;=6,1,0)</f>
        <v>1</v>
      </c>
      <c r="J220" s="6" t="str">
        <f>TEXT(DynamicTable1[[#This Row],[Fecha de creación]],"DDDD")</f>
        <v>lunes</v>
      </c>
      <c r="K220" s="6">
        <f>IF(DynamicTable1[[#This Row],[dia]]="Viernes",4,IF(DynamicTable1[[#This Row],[dia]]="Sábado",2,IF(DynamicTable1[[#This Row],[dia]]="Domingo",1,0)))</f>
        <v>0</v>
      </c>
    </row>
    <row r="221" spans="1:11" x14ac:dyDescent="0.25">
      <c r="A221" t="s">
        <v>472</v>
      </c>
      <c r="B221" t="s">
        <v>13</v>
      </c>
      <c r="C221" t="s">
        <v>24</v>
      </c>
      <c r="D221" t="s">
        <v>11</v>
      </c>
      <c r="E221" t="s">
        <v>473</v>
      </c>
      <c r="F221" s="8">
        <v>46139</v>
      </c>
      <c r="G221" s="8">
        <v>46141</v>
      </c>
      <c r="H221" s="6">
        <f>DynamicTable1[[#This Row],[Fecha de cierre]]-DynamicTable1[[#This Row],[Fecha de creación]]</f>
        <v>2</v>
      </c>
      <c r="I221" s="4">
        <f>IF(DynamicTable1[[#This Row],[Permite agregar una columna.]]&lt;=6,1,0)</f>
        <v>1</v>
      </c>
      <c r="J221" s="6" t="str">
        <f>TEXT(DynamicTable1[[#This Row],[Fecha de creación]],"DDDD")</f>
        <v>lunes</v>
      </c>
      <c r="K221" s="6">
        <f>IF(DynamicTable1[[#This Row],[dia]]="Viernes",4,IF(DynamicTable1[[#This Row],[dia]]="Sábado",2,IF(DynamicTable1[[#This Row],[dia]]="Domingo",1,0)))</f>
        <v>0</v>
      </c>
    </row>
    <row r="222" spans="1:11" hidden="1" x14ac:dyDescent="0.25">
      <c r="A222" t="s">
        <v>474</v>
      </c>
      <c r="B222" t="s">
        <v>19</v>
      </c>
      <c r="C222"/>
      <c r="D222" t="s">
        <v>11</v>
      </c>
      <c r="E222" t="s">
        <v>475</v>
      </c>
      <c r="F222" s="8">
        <v>46139</v>
      </c>
      <c r="G222" s="8">
        <v>46140</v>
      </c>
      <c r="H222" s="6">
        <f>DynamicTable1[[#This Row],[Fecha de cierre]]-DynamicTable1[[#This Row],[Fecha de creación]]</f>
        <v>1</v>
      </c>
      <c r="I222" s="4">
        <f>IF(DynamicTable1[[#This Row],[Permite agregar una columna.]]&lt;=6,1,0)</f>
        <v>1</v>
      </c>
      <c r="J222" s="6" t="str">
        <f>TEXT(DynamicTable1[[#This Row],[Fecha de creación]],"DDDD")</f>
        <v>lunes</v>
      </c>
      <c r="K222" s="6">
        <f>IF(DynamicTable1[[#This Row],[dia]]="Viernes",4,IF(DynamicTable1[[#This Row],[dia]]="Sábado",2,IF(DynamicTable1[[#This Row],[dia]]="Domingo",1,0)))</f>
        <v>0</v>
      </c>
    </row>
    <row r="223" spans="1:11" x14ac:dyDescent="0.25">
      <c r="A223" t="s">
        <v>476</v>
      </c>
      <c r="B223" t="s">
        <v>19</v>
      </c>
      <c r="C223" t="s">
        <v>24</v>
      </c>
      <c r="D223" t="s">
        <v>11</v>
      </c>
      <c r="E223" t="s">
        <v>477</v>
      </c>
      <c r="F223" s="8">
        <v>46139</v>
      </c>
      <c r="G223" s="8">
        <v>46140</v>
      </c>
      <c r="H223" s="6">
        <f>DynamicTable1[[#This Row],[Fecha de cierre]]-DynamicTable1[[#This Row],[Fecha de creación]]</f>
        <v>1</v>
      </c>
      <c r="I223" s="4">
        <f>IF(DynamicTable1[[#This Row],[Permite agregar una columna.]]&lt;=6,1,0)</f>
        <v>1</v>
      </c>
      <c r="J223" s="6" t="str">
        <f>TEXT(DynamicTable1[[#This Row],[Fecha de creación]],"DDDD")</f>
        <v>lunes</v>
      </c>
      <c r="K223" s="6">
        <f>IF(DynamicTable1[[#This Row],[dia]]="Viernes",4,IF(DynamicTable1[[#This Row],[dia]]="Sábado",2,IF(DynamicTable1[[#This Row],[dia]]="Domingo",1,0)))</f>
        <v>0</v>
      </c>
    </row>
    <row r="224" spans="1:11" x14ac:dyDescent="0.25">
      <c r="A224" t="s">
        <v>478</v>
      </c>
      <c r="B224" t="s">
        <v>13</v>
      </c>
      <c r="C224" t="s">
        <v>24</v>
      </c>
      <c r="D224" t="s">
        <v>11</v>
      </c>
      <c r="E224" t="s">
        <v>479</v>
      </c>
      <c r="F224" s="8">
        <v>46139</v>
      </c>
      <c r="G224" s="8">
        <v>46140</v>
      </c>
      <c r="H224" s="6">
        <f>DynamicTable1[[#This Row],[Fecha de cierre]]-DynamicTable1[[#This Row],[Fecha de creación]]</f>
        <v>1</v>
      </c>
      <c r="I224" s="4">
        <f>IF(DynamicTable1[[#This Row],[Permite agregar una columna.]]&lt;=6,1,0)</f>
        <v>1</v>
      </c>
      <c r="J224" s="6" t="str">
        <f>TEXT(DynamicTable1[[#This Row],[Fecha de creación]],"DDDD")</f>
        <v>lunes</v>
      </c>
      <c r="K224" s="6">
        <f>IF(DynamicTable1[[#This Row],[dia]]="Viernes",4,IF(DynamicTable1[[#This Row],[dia]]="Sábado",2,IF(DynamicTable1[[#This Row],[dia]]="Domingo",1,0)))</f>
        <v>0</v>
      </c>
    </row>
    <row r="225" spans="1:11" hidden="1" x14ac:dyDescent="0.25">
      <c r="A225" t="s">
        <v>480</v>
      </c>
      <c r="B225" t="s">
        <v>19</v>
      </c>
      <c r="C225"/>
      <c r="D225" t="s">
        <v>11</v>
      </c>
      <c r="E225" t="s">
        <v>481</v>
      </c>
      <c r="F225" s="8">
        <v>46139</v>
      </c>
      <c r="G225" s="8">
        <v>46140</v>
      </c>
      <c r="H225" s="6">
        <f>DynamicTable1[[#This Row],[Fecha de cierre]]-DynamicTable1[[#This Row],[Fecha de creación]]</f>
        <v>1</v>
      </c>
      <c r="I225" s="4">
        <f>IF(DynamicTable1[[#This Row],[Permite agregar una columna.]]&lt;=6,1,0)</f>
        <v>1</v>
      </c>
      <c r="J225" s="6" t="str">
        <f>TEXT(DynamicTable1[[#This Row],[Fecha de creación]],"DDDD")</f>
        <v>lunes</v>
      </c>
      <c r="K225" s="6">
        <f>IF(DynamicTable1[[#This Row],[dia]]="Viernes",4,IF(DynamicTable1[[#This Row],[dia]]="Sábado",2,IF(DynamicTable1[[#This Row],[dia]]="Domingo",1,0)))</f>
        <v>0</v>
      </c>
    </row>
    <row r="226" spans="1:11" x14ac:dyDescent="0.25">
      <c r="A226" t="s">
        <v>26</v>
      </c>
      <c r="B226" t="s">
        <v>19</v>
      </c>
      <c r="C226" t="s">
        <v>24</v>
      </c>
      <c r="D226" t="s">
        <v>11</v>
      </c>
      <c r="E226" t="s">
        <v>482</v>
      </c>
      <c r="F226" s="8">
        <v>46140</v>
      </c>
      <c r="G226" s="8">
        <v>46140</v>
      </c>
      <c r="H226" s="6">
        <f>DynamicTable1[[#This Row],[Fecha de cierre]]-DynamicTable1[[#This Row],[Fecha de creación]]</f>
        <v>0</v>
      </c>
      <c r="I226" s="4">
        <f>IF(DynamicTable1[[#This Row],[Permite agregar una columna.]]&lt;=6,1,0)</f>
        <v>1</v>
      </c>
      <c r="J226" s="6" t="str">
        <f>TEXT(DynamicTable1[[#This Row],[Fecha de creación]],"DDDD")</f>
        <v>martes</v>
      </c>
      <c r="K226" s="6">
        <f>IF(DynamicTable1[[#This Row],[dia]]="Viernes",4,IF(DynamicTable1[[#This Row],[dia]]="Sábado",2,IF(DynamicTable1[[#This Row],[dia]]="Domingo",1,0)))</f>
        <v>0</v>
      </c>
    </row>
    <row r="227" spans="1:11" x14ac:dyDescent="0.25">
      <c r="A227" t="s">
        <v>483</v>
      </c>
      <c r="B227" t="s">
        <v>18</v>
      </c>
      <c r="C227" t="s">
        <v>24</v>
      </c>
      <c r="D227" t="s">
        <v>11</v>
      </c>
      <c r="E227" t="s">
        <v>484</v>
      </c>
      <c r="F227" s="8">
        <v>46140</v>
      </c>
      <c r="G227" s="8">
        <v>46142</v>
      </c>
      <c r="H227" s="6">
        <f>DynamicTable1[[#This Row],[Fecha de cierre]]-DynamicTable1[[#This Row],[Fecha de creación]]</f>
        <v>2</v>
      </c>
      <c r="I227" s="4">
        <f>IF(DynamicTable1[[#This Row],[Permite agregar una columna.]]&lt;=6,1,0)</f>
        <v>1</v>
      </c>
      <c r="J227" s="6" t="str">
        <f>TEXT(DynamicTable1[[#This Row],[Fecha de creación]],"DDDD")</f>
        <v>martes</v>
      </c>
      <c r="K227" s="6">
        <f>IF(DynamicTable1[[#This Row],[dia]]="Viernes",4,IF(DynamicTable1[[#This Row],[dia]]="Sábado",2,IF(DynamicTable1[[#This Row],[dia]]="Domingo",1,0)))</f>
        <v>0</v>
      </c>
    </row>
    <row r="228" spans="1:11" hidden="1" x14ac:dyDescent="0.25">
      <c r="A228" t="s">
        <v>485</v>
      </c>
      <c r="B228" t="s">
        <v>17</v>
      </c>
      <c r="C228" t="s">
        <v>20</v>
      </c>
      <c r="D228" t="s">
        <v>21</v>
      </c>
      <c r="E228" t="s">
        <v>486</v>
      </c>
      <c r="F228" s="8">
        <v>46140</v>
      </c>
      <c r="G228" s="8"/>
      <c r="H228" s="6">
        <f>DynamicTable1[[#This Row],[Fecha de cierre]]-DynamicTable1[[#This Row],[Fecha de creación]]</f>
        <v>-46140</v>
      </c>
      <c r="I228" s="4">
        <f>IF(DynamicTable1[[#This Row],[Permite agregar una columna.]]&lt;=6,1,0)</f>
        <v>1</v>
      </c>
      <c r="J228" s="6" t="str">
        <f>TEXT(DynamicTable1[[#This Row],[Fecha de creación]],"DDDD")</f>
        <v>martes</v>
      </c>
      <c r="K228" s="6">
        <f>IF(DynamicTable1[[#This Row],[dia]]="Viernes",4,IF(DynamicTable1[[#This Row],[dia]]="Sábado",2,IF(DynamicTable1[[#This Row],[dia]]="Domingo",1,0)))</f>
        <v>0</v>
      </c>
    </row>
    <row r="229" spans="1:11" x14ac:dyDescent="0.25">
      <c r="A229" t="s">
        <v>487</v>
      </c>
      <c r="B229" t="s">
        <v>14</v>
      </c>
      <c r="C229" t="s">
        <v>24</v>
      </c>
      <c r="D229" t="s">
        <v>11</v>
      </c>
      <c r="E229" t="s">
        <v>488</v>
      </c>
      <c r="F229" s="8">
        <v>46140</v>
      </c>
      <c r="G229" s="8">
        <v>46140</v>
      </c>
      <c r="H229" s="6">
        <f>DynamicTable1[[#This Row],[Fecha de cierre]]-DynamicTable1[[#This Row],[Fecha de creación]]</f>
        <v>0</v>
      </c>
      <c r="I229" s="4">
        <f>IF(DynamicTable1[[#This Row],[Permite agregar una columna.]]&lt;=6,1,0)</f>
        <v>1</v>
      </c>
      <c r="J229" s="6" t="str">
        <f>TEXT(DynamicTable1[[#This Row],[Fecha de creación]],"DDDD")</f>
        <v>martes</v>
      </c>
      <c r="K229" s="6">
        <f>IF(DynamicTable1[[#This Row],[dia]]="Viernes",4,IF(DynamicTable1[[#This Row],[dia]]="Sábado",2,IF(DynamicTable1[[#This Row],[dia]]="Domingo",1,0)))</f>
        <v>0</v>
      </c>
    </row>
    <row r="230" spans="1:11" hidden="1" x14ac:dyDescent="0.25">
      <c r="A230" t="s">
        <v>489</v>
      </c>
      <c r="B230" t="s">
        <v>13</v>
      </c>
      <c r="C230"/>
      <c r="D230" t="s">
        <v>11</v>
      </c>
      <c r="E230" t="s">
        <v>490</v>
      </c>
      <c r="F230" s="8">
        <v>46140</v>
      </c>
      <c r="G230" s="8">
        <v>46141</v>
      </c>
      <c r="H230" s="6">
        <f>DynamicTable1[[#This Row],[Fecha de cierre]]-DynamicTable1[[#This Row],[Fecha de creación]]</f>
        <v>1</v>
      </c>
      <c r="I230" s="4">
        <f>IF(DynamicTable1[[#This Row],[Permite agregar una columna.]]&lt;=6,1,0)</f>
        <v>1</v>
      </c>
      <c r="J230" s="6" t="str">
        <f>TEXT(DynamicTable1[[#This Row],[Fecha de creación]],"DDDD")</f>
        <v>martes</v>
      </c>
      <c r="K230" s="6">
        <f>IF(DynamicTable1[[#This Row],[dia]]="Viernes",4,IF(DynamicTable1[[#This Row],[dia]]="Sábado",2,IF(DynamicTable1[[#This Row],[dia]]="Domingo",1,0)))</f>
        <v>0</v>
      </c>
    </row>
    <row r="231" spans="1:11" x14ac:dyDescent="0.25">
      <c r="A231" t="s">
        <v>491</v>
      </c>
      <c r="B231" t="s">
        <v>17</v>
      </c>
      <c r="C231" t="s">
        <v>24</v>
      </c>
      <c r="D231" t="s">
        <v>11</v>
      </c>
      <c r="E231" t="s">
        <v>492</v>
      </c>
      <c r="F231" s="8">
        <v>46140</v>
      </c>
      <c r="G231" s="8">
        <v>46141</v>
      </c>
      <c r="H231" s="6">
        <f>DynamicTable1[[#This Row],[Fecha de cierre]]-DynamicTable1[[#This Row],[Fecha de creación]]</f>
        <v>1</v>
      </c>
      <c r="I231" s="4">
        <f>IF(DynamicTable1[[#This Row],[Permite agregar una columna.]]&lt;=6,1,0)</f>
        <v>1</v>
      </c>
      <c r="J231" s="6" t="str">
        <f>TEXT(DynamicTable1[[#This Row],[Fecha de creación]],"DDDD")</f>
        <v>martes</v>
      </c>
      <c r="K231" s="6">
        <f>IF(DynamicTable1[[#This Row],[dia]]="Viernes",4,IF(DynamicTable1[[#This Row],[dia]]="Sábado",2,IF(DynamicTable1[[#This Row],[dia]]="Domingo",1,0)))</f>
        <v>0</v>
      </c>
    </row>
    <row r="232" spans="1:11" x14ac:dyDescent="0.25">
      <c r="A232" t="s">
        <v>493</v>
      </c>
      <c r="B232" t="s">
        <v>13</v>
      </c>
      <c r="C232" t="s">
        <v>24</v>
      </c>
      <c r="D232" t="s">
        <v>11</v>
      </c>
      <c r="E232" t="s">
        <v>494</v>
      </c>
      <c r="F232" s="8">
        <v>46140</v>
      </c>
      <c r="G232" s="8">
        <v>46141</v>
      </c>
      <c r="H232" s="6">
        <f>DynamicTable1[[#This Row],[Fecha de cierre]]-DynamicTable1[[#This Row],[Fecha de creación]]</f>
        <v>1</v>
      </c>
      <c r="I232" s="4">
        <f>IF(DynamicTable1[[#This Row],[Permite agregar una columna.]]&lt;=6,1,0)</f>
        <v>1</v>
      </c>
      <c r="J232" s="6" t="str">
        <f>TEXT(DynamicTable1[[#This Row],[Fecha de creación]],"DDDD")</f>
        <v>martes</v>
      </c>
      <c r="K232" s="6">
        <f>IF(DynamicTable1[[#This Row],[dia]]="Viernes",4,IF(DynamicTable1[[#This Row],[dia]]="Sábado",2,IF(DynamicTable1[[#This Row],[dia]]="Domingo",1,0)))</f>
        <v>0</v>
      </c>
    </row>
    <row r="233" spans="1:11" hidden="1" x14ac:dyDescent="0.25">
      <c r="A233" t="s">
        <v>495</v>
      </c>
      <c r="B233" t="s">
        <v>27</v>
      </c>
      <c r="C233"/>
      <c r="D233" t="s">
        <v>11</v>
      </c>
      <c r="E233" t="s">
        <v>496</v>
      </c>
      <c r="F233" s="8">
        <v>46140</v>
      </c>
      <c r="G233" s="8">
        <v>46141</v>
      </c>
      <c r="H233" s="6">
        <f>DynamicTable1[[#This Row],[Fecha de cierre]]-DynamicTable1[[#This Row],[Fecha de creación]]</f>
        <v>1</v>
      </c>
      <c r="I233" s="4">
        <f>IF(DynamicTable1[[#This Row],[Permite agregar una columna.]]&lt;=6,1,0)</f>
        <v>1</v>
      </c>
      <c r="J233" s="6" t="str">
        <f>TEXT(DynamicTable1[[#This Row],[Fecha de creación]],"DDDD")</f>
        <v>martes</v>
      </c>
      <c r="K233" s="6">
        <f>IF(DynamicTable1[[#This Row],[dia]]="Viernes",4,IF(DynamicTable1[[#This Row],[dia]]="Sábado",2,IF(DynamicTable1[[#This Row],[dia]]="Domingo",1,0)))</f>
        <v>0</v>
      </c>
    </row>
    <row r="234" spans="1:11" x14ac:dyDescent="0.25">
      <c r="A234" t="s">
        <v>497</v>
      </c>
      <c r="B234" t="s">
        <v>13</v>
      </c>
      <c r="C234" t="s">
        <v>24</v>
      </c>
      <c r="D234" t="s">
        <v>11</v>
      </c>
      <c r="E234" t="s">
        <v>498</v>
      </c>
      <c r="F234" s="8">
        <v>46140</v>
      </c>
      <c r="G234" s="8">
        <v>46141</v>
      </c>
      <c r="H234" s="6">
        <f>DynamicTable1[[#This Row],[Fecha de cierre]]-DynamicTable1[[#This Row],[Fecha de creación]]</f>
        <v>1</v>
      </c>
      <c r="I234" s="4">
        <f>IF(DynamicTable1[[#This Row],[Permite agregar una columna.]]&lt;=6,1,0)</f>
        <v>1</v>
      </c>
      <c r="J234" s="6" t="str">
        <f>TEXT(DynamicTable1[[#This Row],[Fecha de creación]],"DDDD")</f>
        <v>martes</v>
      </c>
      <c r="K234" s="6">
        <f>IF(DynamicTable1[[#This Row],[dia]]="Viernes",4,IF(DynamicTable1[[#This Row],[dia]]="Sábado",2,IF(DynamicTable1[[#This Row],[dia]]="Domingo",1,0)))</f>
        <v>0</v>
      </c>
    </row>
    <row r="235" spans="1:11" x14ac:dyDescent="0.25">
      <c r="A235" t="s">
        <v>499</v>
      </c>
      <c r="B235" t="s">
        <v>14</v>
      </c>
      <c r="C235" t="s">
        <v>24</v>
      </c>
      <c r="D235" t="s">
        <v>11</v>
      </c>
      <c r="E235" t="s">
        <v>500</v>
      </c>
      <c r="F235" s="8">
        <v>46140</v>
      </c>
      <c r="G235" s="8">
        <v>46141</v>
      </c>
      <c r="H235" s="6">
        <f>DynamicTable1[[#This Row],[Fecha de cierre]]-DynamicTable1[[#This Row],[Fecha de creación]]</f>
        <v>1</v>
      </c>
      <c r="I235" s="4">
        <f>IF(DynamicTable1[[#This Row],[Permite agregar una columna.]]&lt;=6,1,0)</f>
        <v>1</v>
      </c>
      <c r="J235" s="6" t="str">
        <f>TEXT(DynamicTable1[[#This Row],[Fecha de creación]],"DDDD")</f>
        <v>martes</v>
      </c>
      <c r="K235" s="6">
        <f>IF(DynamicTable1[[#This Row],[dia]]="Viernes",4,IF(DynamicTable1[[#This Row],[dia]]="Sábado",2,IF(DynamicTable1[[#This Row],[dia]]="Domingo",1,0)))</f>
        <v>0</v>
      </c>
    </row>
    <row r="236" spans="1:11" hidden="1" x14ac:dyDescent="0.25">
      <c r="A236" t="s">
        <v>501</v>
      </c>
      <c r="B236" t="s">
        <v>17</v>
      </c>
      <c r="C236"/>
      <c r="D236" t="s">
        <v>11</v>
      </c>
      <c r="E236" t="s">
        <v>502</v>
      </c>
      <c r="F236" s="8">
        <v>46141</v>
      </c>
      <c r="G236" s="8">
        <v>46141</v>
      </c>
      <c r="H236" s="6">
        <f>DynamicTable1[[#This Row],[Fecha de cierre]]-DynamicTable1[[#This Row],[Fecha de creación]]</f>
        <v>0</v>
      </c>
      <c r="I236" s="4">
        <f>IF(DynamicTable1[[#This Row],[Permite agregar una columna.]]&lt;=6,1,0)</f>
        <v>1</v>
      </c>
      <c r="J236" s="6" t="str">
        <f>TEXT(DynamicTable1[[#This Row],[Fecha de creación]],"DDDD")</f>
        <v>miércoles</v>
      </c>
      <c r="K236" s="6">
        <f>IF(DynamicTable1[[#This Row],[dia]]="Viernes",4,IF(DynamicTable1[[#This Row],[dia]]="Sábado",2,IF(DynamicTable1[[#This Row],[dia]]="Domingo",1,0)))</f>
        <v>0</v>
      </c>
    </row>
    <row r="237" spans="1:11" x14ac:dyDescent="0.25">
      <c r="A237" t="s">
        <v>503</v>
      </c>
      <c r="B237" t="s">
        <v>14</v>
      </c>
      <c r="C237" t="s">
        <v>24</v>
      </c>
      <c r="D237" t="s">
        <v>11</v>
      </c>
      <c r="E237" t="s">
        <v>504</v>
      </c>
      <c r="F237" s="8">
        <v>46141</v>
      </c>
      <c r="G237" s="8">
        <v>46141</v>
      </c>
      <c r="H237" s="6">
        <f>DynamicTable1[[#This Row],[Fecha de cierre]]-DynamicTable1[[#This Row],[Fecha de creación]]</f>
        <v>0</v>
      </c>
      <c r="I237" s="4">
        <f>IF(DynamicTable1[[#This Row],[Permite agregar una columna.]]&lt;=6,1,0)</f>
        <v>1</v>
      </c>
      <c r="J237" s="6" t="str">
        <f>TEXT(DynamicTable1[[#This Row],[Fecha de creación]],"DDDD")</f>
        <v>miércoles</v>
      </c>
      <c r="K237" s="6">
        <f>IF(DynamicTable1[[#This Row],[dia]]="Viernes",4,IF(DynamicTable1[[#This Row],[dia]]="Sábado",2,IF(DynamicTable1[[#This Row],[dia]]="Domingo",1,0)))</f>
        <v>0</v>
      </c>
    </row>
    <row r="238" spans="1:11" hidden="1" x14ac:dyDescent="0.25">
      <c r="A238" t="s">
        <v>505</v>
      </c>
      <c r="B238" t="s">
        <v>23</v>
      </c>
      <c r="C238" t="s">
        <v>127</v>
      </c>
      <c r="D238" t="s">
        <v>21</v>
      </c>
      <c r="E238" t="s">
        <v>506</v>
      </c>
      <c r="F238" s="8">
        <v>46141</v>
      </c>
      <c r="G238" s="8"/>
      <c r="H238" s="6">
        <f>DynamicTable1[[#This Row],[Fecha de cierre]]-DynamicTable1[[#This Row],[Fecha de creación]]</f>
        <v>-46141</v>
      </c>
      <c r="I238" s="4">
        <f>IF(DynamicTable1[[#This Row],[Permite agregar una columna.]]&lt;=6,1,0)</f>
        <v>1</v>
      </c>
      <c r="J238" s="6" t="str">
        <f>TEXT(DynamicTable1[[#This Row],[Fecha de creación]],"DDDD")</f>
        <v>miércoles</v>
      </c>
      <c r="K238" s="6">
        <f>IF(DynamicTable1[[#This Row],[dia]]="Viernes",4,IF(DynamicTable1[[#This Row],[dia]]="Sábado",2,IF(DynamicTable1[[#This Row],[dia]]="Domingo",1,0)))</f>
        <v>0</v>
      </c>
    </row>
    <row r="239" spans="1:11" x14ac:dyDescent="0.25">
      <c r="A239" t="s">
        <v>507</v>
      </c>
      <c r="B239" t="s">
        <v>13</v>
      </c>
      <c r="C239" t="s">
        <v>24</v>
      </c>
      <c r="D239" t="s">
        <v>11</v>
      </c>
      <c r="E239" t="s">
        <v>508</v>
      </c>
      <c r="F239" s="8">
        <v>46141</v>
      </c>
      <c r="G239" s="8">
        <v>46141</v>
      </c>
      <c r="H239" s="6">
        <f>DynamicTable1[[#This Row],[Fecha de cierre]]-DynamicTable1[[#This Row],[Fecha de creación]]</f>
        <v>0</v>
      </c>
      <c r="I239" s="4">
        <f>IF(DynamicTable1[[#This Row],[Permite agregar una columna.]]&lt;=6,1,0)</f>
        <v>1</v>
      </c>
      <c r="J239" s="6" t="str">
        <f>TEXT(DynamicTable1[[#This Row],[Fecha de creación]],"DDDD")</f>
        <v>miércoles</v>
      </c>
      <c r="K239" s="6">
        <f>IF(DynamicTable1[[#This Row],[dia]]="Viernes",4,IF(DynamicTable1[[#This Row],[dia]]="Sábado",2,IF(DynamicTable1[[#This Row],[dia]]="Domingo",1,0)))</f>
        <v>0</v>
      </c>
    </row>
    <row r="240" spans="1:11" x14ac:dyDescent="0.25">
      <c r="A240" t="s">
        <v>509</v>
      </c>
      <c r="B240" t="s">
        <v>19</v>
      </c>
      <c r="C240" t="s">
        <v>24</v>
      </c>
      <c r="D240" t="s">
        <v>11</v>
      </c>
      <c r="E240" t="s">
        <v>510</v>
      </c>
      <c r="F240" s="8">
        <v>46141</v>
      </c>
      <c r="G240" s="8">
        <v>46141</v>
      </c>
      <c r="H240" s="6">
        <f>DynamicTable1[[#This Row],[Fecha de cierre]]-DynamicTable1[[#This Row],[Fecha de creación]]</f>
        <v>0</v>
      </c>
      <c r="I240" s="4">
        <f>IF(DynamicTable1[[#This Row],[Permite agregar una columna.]]&lt;=6,1,0)</f>
        <v>1</v>
      </c>
      <c r="J240" s="6" t="str">
        <f>TEXT(DynamicTable1[[#This Row],[Fecha de creación]],"DDDD")</f>
        <v>miércoles</v>
      </c>
      <c r="K240" s="6">
        <f>IF(DynamicTable1[[#This Row],[dia]]="Viernes",4,IF(DynamicTable1[[#This Row],[dia]]="Sábado",2,IF(DynamicTable1[[#This Row],[dia]]="Domingo",1,0)))</f>
        <v>0</v>
      </c>
    </row>
    <row r="241" spans="1:11" x14ac:dyDescent="0.25">
      <c r="A241" t="s">
        <v>511</v>
      </c>
      <c r="B241" t="s">
        <v>19</v>
      </c>
      <c r="C241" t="s">
        <v>24</v>
      </c>
      <c r="D241" t="s">
        <v>11</v>
      </c>
      <c r="E241" t="s">
        <v>512</v>
      </c>
      <c r="F241" s="8">
        <v>46141</v>
      </c>
      <c r="G241" s="8">
        <v>46141</v>
      </c>
      <c r="H241" s="6">
        <f>DynamicTable1[[#This Row],[Fecha de cierre]]-DynamicTable1[[#This Row],[Fecha de creación]]</f>
        <v>0</v>
      </c>
      <c r="I241" s="4">
        <f>IF(DynamicTable1[[#This Row],[Permite agregar una columna.]]&lt;=6,1,0)</f>
        <v>1</v>
      </c>
      <c r="J241" s="6" t="str">
        <f>TEXT(DynamicTable1[[#This Row],[Fecha de creación]],"DDDD")</f>
        <v>miércoles</v>
      </c>
      <c r="K241" s="6">
        <f>IF(DynamicTable1[[#This Row],[dia]]="Viernes",4,IF(DynamicTable1[[#This Row],[dia]]="Sábado",2,IF(DynamicTable1[[#This Row],[dia]]="Domingo",1,0)))</f>
        <v>0</v>
      </c>
    </row>
    <row r="242" spans="1:11" x14ac:dyDescent="0.25">
      <c r="A242" t="s">
        <v>513</v>
      </c>
      <c r="B242" t="s">
        <v>210</v>
      </c>
      <c r="C242" t="s">
        <v>24</v>
      </c>
      <c r="D242" t="s">
        <v>11</v>
      </c>
      <c r="E242" t="s">
        <v>514</v>
      </c>
      <c r="F242" s="8">
        <v>46141</v>
      </c>
      <c r="G242" s="8">
        <v>46141</v>
      </c>
      <c r="H242" s="6">
        <f>DynamicTable1[[#This Row],[Fecha de cierre]]-DynamicTable1[[#This Row],[Fecha de creación]]</f>
        <v>0</v>
      </c>
      <c r="I242" s="4">
        <f>IF(DynamicTable1[[#This Row],[Permite agregar una columna.]]&lt;=6,1,0)</f>
        <v>1</v>
      </c>
      <c r="J242" s="6" t="str">
        <f>TEXT(DynamicTable1[[#This Row],[Fecha de creación]],"DDDD")</f>
        <v>miércoles</v>
      </c>
      <c r="K242" s="6">
        <f>IF(DynamicTable1[[#This Row],[dia]]="Viernes",4,IF(DynamicTable1[[#This Row],[dia]]="Sábado",2,IF(DynamicTable1[[#This Row],[dia]]="Domingo",1,0)))</f>
        <v>0</v>
      </c>
    </row>
    <row r="243" spans="1:11" hidden="1" x14ac:dyDescent="0.25">
      <c r="A243" t="s">
        <v>515</v>
      </c>
      <c r="B243" t="s">
        <v>19</v>
      </c>
      <c r="C243" t="s">
        <v>20</v>
      </c>
      <c r="D243" t="s">
        <v>21</v>
      </c>
      <c r="E243" t="s">
        <v>516</v>
      </c>
      <c r="F243" s="8">
        <v>46141</v>
      </c>
      <c r="G243" s="8"/>
      <c r="H243" s="6">
        <f>DynamicTable1[[#This Row],[Fecha de cierre]]-DynamicTable1[[#This Row],[Fecha de creación]]</f>
        <v>-46141</v>
      </c>
      <c r="I243" s="4">
        <f>IF(DynamicTable1[[#This Row],[Permite agregar una columna.]]&lt;=6,1,0)</f>
        <v>1</v>
      </c>
      <c r="J243" s="6" t="str">
        <f>TEXT(DynamicTable1[[#This Row],[Fecha de creación]],"DDDD")</f>
        <v>miércoles</v>
      </c>
      <c r="K243" s="6">
        <f>IF(DynamicTable1[[#This Row],[dia]]="Viernes",4,IF(DynamicTable1[[#This Row],[dia]]="Sábado",2,IF(DynamicTable1[[#This Row],[dia]]="Domingo",1,0)))</f>
        <v>0</v>
      </c>
    </row>
    <row r="244" spans="1:11" hidden="1" x14ac:dyDescent="0.25">
      <c r="A244" t="s">
        <v>517</v>
      </c>
      <c r="B244" t="s">
        <v>19</v>
      </c>
      <c r="C244"/>
      <c r="D244" t="s">
        <v>11</v>
      </c>
      <c r="E244" t="s">
        <v>518</v>
      </c>
      <c r="F244" s="8">
        <v>46141</v>
      </c>
      <c r="G244" s="8">
        <v>46141</v>
      </c>
      <c r="H244" s="6">
        <f>DynamicTable1[[#This Row],[Fecha de cierre]]-DynamicTable1[[#This Row],[Fecha de creación]]</f>
        <v>0</v>
      </c>
      <c r="I244" s="4">
        <f>IF(DynamicTable1[[#This Row],[Permite agregar una columna.]]&lt;=6,1,0)</f>
        <v>1</v>
      </c>
      <c r="J244" s="6" t="str">
        <f>TEXT(DynamicTable1[[#This Row],[Fecha de creación]],"DDDD")</f>
        <v>miércoles</v>
      </c>
      <c r="K244" s="6">
        <f>IF(DynamicTable1[[#This Row],[dia]]="Viernes",4,IF(DynamicTable1[[#This Row],[dia]]="Sábado",2,IF(DynamicTable1[[#This Row],[dia]]="Domingo",1,0)))</f>
        <v>0</v>
      </c>
    </row>
    <row r="245" spans="1:11" hidden="1" x14ac:dyDescent="0.25">
      <c r="A245" t="s">
        <v>519</v>
      </c>
      <c r="B245" t="s">
        <v>13</v>
      </c>
      <c r="C245" t="s">
        <v>20</v>
      </c>
      <c r="D245" t="s">
        <v>11</v>
      </c>
      <c r="E245" t="s">
        <v>520</v>
      </c>
      <c r="F245" s="8">
        <v>46141</v>
      </c>
      <c r="G245" s="8" t="s">
        <v>521</v>
      </c>
      <c r="H245" s="6" t="e">
        <f>DynamicTable1[[#This Row],[Fecha de cierre]]-DynamicTable1[[#This Row],[Fecha de creación]]</f>
        <v>#VALUE!</v>
      </c>
      <c r="I245" s="4" t="e">
        <f>IF(DynamicTable1[[#This Row],[Permite agregar una columna.]]&lt;=6,1,0)</f>
        <v>#VALUE!</v>
      </c>
      <c r="J245" s="6" t="str">
        <f>TEXT(DynamicTable1[[#This Row],[Fecha de creación]],"DDDD")</f>
        <v>miércoles</v>
      </c>
      <c r="K245" s="6">
        <f>IF(DynamicTable1[[#This Row],[dia]]="Viernes",4,IF(DynamicTable1[[#This Row],[dia]]="Sábado",2,IF(DynamicTable1[[#This Row],[dia]]="Domingo",1,0)))</f>
        <v>0</v>
      </c>
    </row>
    <row r="246" spans="1:11" x14ac:dyDescent="0.25">
      <c r="A246" t="s">
        <v>522</v>
      </c>
      <c r="B246" t="s">
        <v>16</v>
      </c>
      <c r="C246" t="s">
        <v>24</v>
      </c>
      <c r="D246" t="s">
        <v>11</v>
      </c>
      <c r="E246" t="s">
        <v>523</v>
      </c>
      <c r="F246" s="8">
        <v>46141</v>
      </c>
      <c r="G246" s="8">
        <v>46142</v>
      </c>
      <c r="H246" s="6">
        <f>DynamicTable1[[#This Row],[Fecha de cierre]]-DynamicTable1[[#This Row],[Fecha de creación]]</f>
        <v>1</v>
      </c>
      <c r="I246" s="4">
        <f>IF(DynamicTable1[[#This Row],[Permite agregar una columna.]]&lt;=6,1,0)</f>
        <v>1</v>
      </c>
      <c r="J246" s="6" t="str">
        <f>TEXT(DynamicTable1[[#This Row],[Fecha de creación]],"DDDD")</f>
        <v>miércoles</v>
      </c>
      <c r="K246" s="6">
        <f>IF(DynamicTable1[[#This Row],[dia]]="Viernes",4,IF(DynamicTable1[[#This Row],[dia]]="Sábado",2,IF(DynamicTable1[[#This Row],[dia]]="Domingo",1,0)))</f>
        <v>0</v>
      </c>
    </row>
    <row r="247" spans="1:11" hidden="1" x14ac:dyDescent="0.25">
      <c r="A247" t="s">
        <v>524</v>
      </c>
      <c r="B247" t="s">
        <v>15</v>
      </c>
      <c r="C247" t="s">
        <v>20</v>
      </c>
      <c r="D247" t="s">
        <v>21</v>
      </c>
      <c r="E247" t="s">
        <v>525</v>
      </c>
      <c r="F247" s="8">
        <v>46141</v>
      </c>
      <c r="G247" s="8"/>
      <c r="H247" s="6">
        <f>DynamicTable1[[#This Row],[Fecha de cierre]]-DynamicTable1[[#This Row],[Fecha de creación]]</f>
        <v>-46141</v>
      </c>
      <c r="I247" s="4">
        <f>IF(DynamicTable1[[#This Row],[Permite agregar una columna.]]&lt;=6,1,0)</f>
        <v>1</v>
      </c>
      <c r="J247" s="6" t="str">
        <f>TEXT(DynamicTable1[[#This Row],[Fecha de creación]],"DDDD")</f>
        <v>miércoles</v>
      </c>
      <c r="K247" s="6">
        <f>IF(DynamicTable1[[#This Row],[dia]]="Viernes",4,IF(DynamicTable1[[#This Row],[dia]]="Sábado",2,IF(DynamicTable1[[#This Row],[dia]]="Domingo",1,0)))</f>
        <v>0</v>
      </c>
    </row>
    <row r="248" spans="1:11" x14ac:dyDescent="0.25">
      <c r="A248" t="s">
        <v>526</v>
      </c>
      <c r="B248" t="s">
        <v>13</v>
      </c>
      <c r="C248" t="s">
        <v>24</v>
      </c>
      <c r="D248" t="s">
        <v>11</v>
      </c>
      <c r="E248" t="s">
        <v>527</v>
      </c>
      <c r="F248" s="8">
        <v>46141</v>
      </c>
      <c r="G248" s="8">
        <v>46142</v>
      </c>
      <c r="H248" s="6">
        <f>DynamicTable1[[#This Row],[Fecha de cierre]]-DynamicTable1[[#This Row],[Fecha de creación]]</f>
        <v>1</v>
      </c>
      <c r="I248" s="4">
        <f>IF(DynamicTable1[[#This Row],[Permite agregar una columna.]]&lt;=6,1,0)</f>
        <v>1</v>
      </c>
      <c r="J248" s="6" t="str">
        <f>TEXT(DynamicTable1[[#This Row],[Fecha de creación]],"DDDD")</f>
        <v>miércoles</v>
      </c>
      <c r="K248" s="6">
        <f>IF(DynamicTable1[[#This Row],[dia]]="Viernes",4,IF(DynamicTable1[[#This Row],[dia]]="Sábado",2,IF(DynamicTable1[[#This Row],[dia]]="Domingo",1,0)))</f>
        <v>0</v>
      </c>
    </row>
    <row r="249" spans="1:11" hidden="1" x14ac:dyDescent="0.25">
      <c r="A249" t="s">
        <v>528</v>
      </c>
      <c r="B249" t="s">
        <v>19</v>
      </c>
      <c r="C249"/>
      <c r="D249" t="s">
        <v>11</v>
      </c>
      <c r="E249" t="s">
        <v>529</v>
      </c>
      <c r="F249" s="8">
        <v>46141</v>
      </c>
      <c r="G249" s="8">
        <v>46142</v>
      </c>
      <c r="H249" s="6">
        <f>DynamicTable1[[#This Row],[Fecha de cierre]]-DynamicTable1[[#This Row],[Fecha de creación]]</f>
        <v>1</v>
      </c>
      <c r="I249" s="4">
        <f>IF(DynamicTable1[[#This Row],[Permite agregar una columna.]]&lt;=6,1,0)</f>
        <v>1</v>
      </c>
      <c r="J249" s="6" t="str">
        <f>TEXT(DynamicTable1[[#This Row],[Fecha de creación]],"DDDD")</f>
        <v>miércoles</v>
      </c>
      <c r="K249" s="6">
        <f>IF(DynamicTable1[[#This Row],[dia]]="Viernes",4,IF(DynamicTable1[[#This Row],[dia]]="Sábado",2,IF(DynamicTable1[[#This Row],[dia]]="Domingo",1,0)))</f>
        <v>0</v>
      </c>
    </row>
    <row r="250" spans="1:11" hidden="1" x14ac:dyDescent="0.25">
      <c r="A250" t="s">
        <v>530</v>
      </c>
      <c r="B250" t="s">
        <v>19</v>
      </c>
      <c r="C250" t="s">
        <v>12</v>
      </c>
      <c r="D250" t="s">
        <v>11</v>
      </c>
      <c r="E250" t="s">
        <v>531</v>
      </c>
      <c r="F250" s="8">
        <v>46142</v>
      </c>
      <c r="G250" s="8">
        <v>46142</v>
      </c>
      <c r="H250" s="6">
        <f>DynamicTable1[[#This Row],[Fecha de cierre]]-DynamicTable1[[#This Row],[Fecha de creación]]</f>
        <v>0</v>
      </c>
      <c r="I250" s="4">
        <f>IF(DynamicTable1[[#This Row],[Permite agregar una columna.]]&lt;=6,1,0)</f>
        <v>1</v>
      </c>
      <c r="J250" s="6" t="str">
        <f>TEXT(DynamicTable1[[#This Row],[Fecha de creación]],"DDDD")</f>
        <v>jueves</v>
      </c>
      <c r="K250" s="6">
        <f>IF(DynamicTable1[[#This Row],[dia]]="Viernes",4,IF(DynamicTable1[[#This Row],[dia]]="Sábado",2,IF(DynamicTable1[[#This Row],[dia]]="Domingo",1,0)))</f>
        <v>0</v>
      </c>
    </row>
    <row r="251" spans="1:11" x14ac:dyDescent="0.25">
      <c r="A251" t="s">
        <v>532</v>
      </c>
      <c r="B251" t="s">
        <v>14</v>
      </c>
      <c r="C251" t="s">
        <v>24</v>
      </c>
      <c r="D251" t="s">
        <v>11</v>
      </c>
      <c r="E251" t="s">
        <v>533</v>
      </c>
      <c r="F251" s="8">
        <v>46142</v>
      </c>
      <c r="G251" s="8">
        <v>46142</v>
      </c>
      <c r="H251" s="6">
        <f>DynamicTable1[[#This Row],[Fecha de cierre]]-DynamicTable1[[#This Row],[Fecha de creación]]</f>
        <v>0</v>
      </c>
      <c r="I251" s="4">
        <f>IF(DynamicTable1[[#This Row],[Permite agregar una columna.]]&lt;=6,1,0)</f>
        <v>1</v>
      </c>
      <c r="J251" s="6" t="str">
        <f>TEXT(DynamicTable1[[#This Row],[Fecha de creación]],"DDDD")</f>
        <v>jueves</v>
      </c>
      <c r="K251" s="6">
        <f>IF(DynamicTable1[[#This Row],[dia]]="Viernes",4,IF(DynamicTable1[[#This Row],[dia]]="Sábado",2,IF(DynamicTable1[[#This Row],[dia]]="Domingo",1,0)))</f>
        <v>0</v>
      </c>
    </row>
    <row r="252" spans="1:11" hidden="1" x14ac:dyDescent="0.25">
      <c r="A252" t="s">
        <v>534</v>
      </c>
      <c r="B252" t="s">
        <v>13</v>
      </c>
      <c r="C252" t="s">
        <v>127</v>
      </c>
      <c r="D252" t="s">
        <v>21</v>
      </c>
      <c r="E252" t="s">
        <v>535</v>
      </c>
      <c r="F252" s="8">
        <v>46142</v>
      </c>
      <c r="G252" s="8"/>
      <c r="H252" s="6">
        <f>DynamicTable1[[#This Row],[Fecha de cierre]]-DynamicTable1[[#This Row],[Fecha de creación]]</f>
        <v>-46142</v>
      </c>
      <c r="I252" s="4">
        <f>IF(DynamicTable1[[#This Row],[Permite agregar una columna.]]&lt;=6,1,0)</f>
        <v>1</v>
      </c>
      <c r="J252" s="6" t="str">
        <f>TEXT(DynamicTable1[[#This Row],[Fecha de creación]],"DDDD")</f>
        <v>jueves</v>
      </c>
      <c r="K252" s="6">
        <f>IF(DynamicTable1[[#This Row],[dia]]="Viernes",4,IF(DynamicTable1[[#This Row],[dia]]="Sábado",2,IF(DynamicTable1[[#This Row],[dia]]="Domingo",1,0)))</f>
        <v>0</v>
      </c>
    </row>
    <row r="253" spans="1:11" hidden="1" x14ac:dyDescent="0.25">
      <c r="A253" t="s">
        <v>536</v>
      </c>
      <c r="B253" t="s">
        <v>210</v>
      </c>
      <c r="C253" t="s">
        <v>20</v>
      </c>
      <c r="D253" t="s">
        <v>11</v>
      </c>
      <c r="E253" t="s">
        <v>537</v>
      </c>
      <c r="F253" s="8">
        <v>46142</v>
      </c>
      <c r="G253" s="8" t="s">
        <v>538</v>
      </c>
      <c r="H253" s="6" t="e">
        <f>DynamicTable1[[#This Row],[Fecha de cierre]]-DynamicTable1[[#This Row],[Fecha de creación]]</f>
        <v>#VALUE!</v>
      </c>
      <c r="I253" s="4" t="e">
        <f>IF(DynamicTable1[[#This Row],[Permite agregar una columna.]]&lt;=6,1,0)</f>
        <v>#VALUE!</v>
      </c>
      <c r="J253" s="6" t="str">
        <f>TEXT(DynamicTable1[[#This Row],[Fecha de creación]],"DDDD")</f>
        <v>jueves</v>
      </c>
      <c r="K253" s="6">
        <f>IF(DynamicTable1[[#This Row],[dia]]="Viernes",4,IF(DynamicTable1[[#This Row],[dia]]="Sábado",2,IF(DynamicTable1[[#This Row],[dia]]="Domingo",1,0)))</f>
        <v>0</v>
      </c>
    </row>
    <row r="254" spans="1:11" x14ac:dyDescent="0.25">
      <c r="A254" t="s">
        <v>539</v>
      </c>
      <c r="B254" t="s">
        <v>13</v>
      </c>
      <c r="C254" t="s">
        <v>24</v>
      </c>
      <c r="D254" t="s">
        <v>11</v>
      </c>
      <c r="E254" t="s">
        <v>540</v>
      </c>
      <c r="F254" s="8">
        <v>46142</v>
      </c>
      <c r="G254" s="8">
        <v>46142</v>
      </c>
      <c r="H254" s="6">
        <f>DynamicTable1[[#This Row],[Fecha de cierre]]-DynamicTable1[[#This Row],[Fecha de creación]]</f>
        <v>0</v>
      </c>
      <c r="I254" s="4">
        <f>IF(DynamicTable1[[#This Row],[Permite agregar una columna.]]&lt;=6,1,0)</f>
        <v>1</v>
      </c>
      <c r="J254" s="6" t="str">
        <f>TEXT(DynamicTable1[[#This Row],[Fecha de creación]],"DDDD")</f>
        <v>jueves</v>
      </c>
      <c r="K254" s="6">
        <f>IF(DynamicTable1[[#This Row],[dia]]="Viernes",4,IF(DynamicTable1[[#This Row],[dia]]="Sábado",2,IF(DynamicTable1[[#This Row],[dia]]="Domingo",1,0)))</f>
        <v>0</v>
      </c>
    </row>
    <row r="255" spans="1:11" x14ac:dyDescent="0.25">
      <c r="A255" t="s">
        <v>541</v>
      </c>
      <c r="B255" t="s">
        <v>13</v>
      </c>
      <c r="C255" t="s">
        <v>24</v>
      </c>
      <c r="D255" t="s">
        <v>11</v>
      </c>
      <c r="E255" t="s">
        <v>542</v>
      </c>
      <c r="F255" s="8">
        <v>46142</v>
      </c>
      <c r="G255" s="8">
        <v>46142</v>
      </c>
      <c r="H255" s="6">
        <f>DynamicTable1[[#This Row],[Fecha de cierre]]-DynamicTable1[[#This Row],[Fecha de creación]]</f>
        <v>0</v>
      </c>
      <c r="I255" s="4">
        <f>IF(DynamicTable1[[#This Row],[Permite agregar una columna.]]&lt;=6,1,0)</f>
        <v>1</v>
      </c>
      <c r="J255" s="6" t="str">
        <f>TEXT(DynamicTable1[[#This Row],[Fecha de creación]],"DDDD")</f>
        <v>jueves</v>
      </c>
      <c r="K255" s="6">
        <f>IF(DynamicTable1[[#This Row],[dia]]="Viernes",4,IF(DynamicTable1[[#This Row],[dia]]="Sábado",2,IF(DynamicTable1[[#This Row],[dia]]="Domingo",1,0)))</f>
        <v>0</v>
      </c>
    </row>
    <row r="256" spans="1:11" x14ac:dyDescent="0.25">
      <c r="A256" t="s">
        <v>543</v>
      </c>
      <c r="B256" t="s">
        <v>13</v>
      </c>
      <c r="C256" t="s">
        <v>24</v>
      </c>
      <c r="D256" t="s">
        <v>11</v>
      </c>
      <c r="E256" t="s">
        <v>544</v>
      </c>
      <c r="F256" s="8">
        <v>46142</v>
      </c>
      <c r="G256" s="8">
        <v>46142</v>
      </c>
      <c r="H256" s="6">
        <f>DynamicTable1[[#This Row],[Fecha de cierre]]-DynamicTable1[[#This Row],[Fecha de creación]]</f>
        <v>0</v>
      </c>
      <c r="I256" s="4">
        <f>IF(DynamicTable1[[#This Row],[Permite agregar una columna.]]&lt;=6,1,0)</f>
        <v>1</v>
      </c>
      <c r="J256" s="6" t="str">
        <f>TEXT(DynamicTable1[[#This Row],[Fecha de creación]],"DDDD")</f>
        <v>jueves</v>
      </c>
      <c r="K256" s="6">
        <f>IF(DynamicTable1[[#This Row],[dia]]="Viernes",4,IF(DynamicTable1[[#This Row],[dia]]="Sábado",2,IF(DynamicTable1[[#This Row],[dia]]="Domingo",1,0)))</f>
        <v>0</v>
      </c>
    </row>
    <row r="257" spans="1:11" hidden="1" x14ac:dyDescent="0.25">
      <c r="A257" t="s">
        <v>545</v>
      </c>
      <c r="B257" t="s">
        <v>13</v>
      </c>
      <c r="C257" t="s">
        <v>12</v>
      </c>
      <c r="D257" t="s">
        <v>11</v>
      </c>
      <c r="E257" t="s">
        <v>546</v>
      </c>
      <c r="F257" s="8">
        <v>46142</v>
      </c>
      <c r="G257" s="8">
        <v>46142</v>
      </c>
      <c r="H257" s="6">
        <f>DynamicTable1[[#This Row],[Fecha de cierre]]-DynamicTable1[[#This Row],[Fecha de creación]]</f>
        <v>0</v>
      </c>
      <c r="I257" s="4">
        <f>IF(DynamicTable1[[#This Row],[Permite agregar una columna.]]&lt;=6,1,0)</f>
        <v>1</v>
      </c>
      <c r="J257" s="6" t="str">
        <f>TEXT(DynamicTable1[[#This Row],[Fecha de creación]],"DDDD")</f>
        <v>jueves</v>
      </c>
      <c r="K257" s="6">
        <f>IF(DynamicTable1[[#This Row],[dia]]="Viernes",4,IF(DynamicTable1[[#This Row],[dia]]="Sábado",2,IF(DynamicTable1[[#This Row],[dia]]="Domingo",1,0)))</f>
        <v>0</v>
      </c>
    </row>
    <row r="258" spans="1:11" x14ac:dyDescent="0.25">
      <c r="A258" t="s">
        <v>547</v>
      </c>
      <c r="B258" t="s">
        <v>13</v>
      </c>
      <c r="C258" t="s">
        <v>24</v>
      </c>
      <c r="D258" t="s">
        <v>11</v>
      </c>
      <c r="E258" t="s">
        <v>548</v>
      </c>
      <c r="F258" s="8">
        <v>46142</v>
      </c>
      <c r="G258" s="8">
        <v>46142</v>
      </c>
      <c r="H258" s="6">
        <f>DynamicTable1[[#This Row],[Fecha de cierre]]-DynamicTable1[[#This Row],[Fecha de creación]]</f>
        <v>0</v>
      </c>
      <c r="I258" s="4">
        <f>IF(DynamicTable1[[#This Row],[Permite agregar una columna.]]&lt;=6,1,0)</f>
        <v>1</v>
      </c>
      <c r="J258" s="6" t="str">
        <f>TEXT(DynamicTable1[[#This Row],[Fecha de creación]],"DDDD")</f>
        <v>jueves</v>
      </c>
      <c r="K258" s="6">
        <f>IF(DynamicTable1[[#This Row],[dia]]="Viernes",4,IF(DynamicTable1[[#This Row],[dia]]="Sábado",2,IF(DynamicTable1[[#This Row],[dia]]="Domingo",1,0)))</f>
        <v>0</v>
      </c>
    </row>
    <row r="259" spans="1:11" hidden="1" x14ac:dyDescent="0.25">
      <c r="A259" t="s">
        <v>549</v>
      </c>
      <c r="B259" t="s">
        <v>19</v>
      </c>
      <c r="C259"/>
      <c r="D259" t="s">
        <v>11</v>
      </c>
      <c r="E259" t="s">
        <v>550</v>
      </c>
      <c r="F259" s="8">
        <v>46142</v>
      </c>
      <c r="G259" s="8">
        <v>46142</v>
      </c>
      <c r="H259" s="6">
        <f>DynamicTable1[[#This Row],[Fecha de cierre]]-DynamicTable1[[#This Row],[Fecha de creación]]</f>
        <v>0</v>
      </c>
      <c r="I259" s="4">
        <f>IF(DynamicTable1[[#This Row],[Permite agregar una columna.]]&lt;=6,1,0)</f>
        <v>1</v>
      </c>
      <c r="J259" s="6" t="str">
        <f>TEXT(DynamicTable1[[#This Row],[Fecha de creación]],"DDDD")</f>
        <v>jueves</v>
      </c>
      <c r="K259" s="6">
        <f>IF(DynamicTable1[[#This Row],[dia]]="Viernes",4,IF(DynamicTable1[[#This Row],[dia]]="Sábado",2,IF(DynamicTable1[[#This Row],[dia]]="Domingo",1,0)))</f>
        <v>0</v>
      </c>
    </row>
    <row r="260" spans="1:11" hidden="1" x14ac:dyDescent="0.25">
      <c r="A260" t="s">
        <v>551</v>
      </c>
      <c r="B260" t="s">
        <v>19</v>
      </c>
      <c r="C260"/>
      <c r="D260" t="s">
        <v>11</v>
      </c>
      <c r="E260" t="s">
        <v>552</v>
      </c>
      <c r="F260" s="8">
        <v>46142</v>
      </c>
      <c r="G260" s="8">
        <v>46142</v>
      </c>
      <c r="H260" s="6">
        <f>DynamicTable1[[#This Row],[Fecha de cierre]]-DynamicTable1[[#This Row],[Fecha de creación]]</f>
        <v>0</v>
      </c>
      <c r="I260" s="4">
        <f>IF(DynamicTable1[[#This Row],[Permite agregar una columna.]]&lt;=6,1,0)</f>
        <v>1</v>
      </c>
      <c r="J260" s="6" t="str">
        <f>TEXT(DynamicTable1[[#This Row],[Fecha de creación]],"DDDD")</f>
        <v>jueves</v>
      </c>
      <c r="K260" s="6">
        <f>IF(DynamicTable1[[#This Row],[dia]]="Viernes",4,IF(DynamicTable1[[#This Row],[dia]]="Sábado",2,IF(DynamicTable1[[#This Row],[dia]]="Domingo",1,0)))</f>
        <v>0</v>
      </c>
    </row>
    <row r="261" spans="1:11" hidden="1" x14ac:dyDescent="0.25">
      <c r="A261" t="s">
        <v>553</v>
      </c>
      <c r="B261" t="s">
        <v>14</v>
      </c>
      <c r="C261" t="s">
        <v>24</v>
      </c>
      <c r="D261" t="s">
        <v>21</v>
      </c>
      <c r="E261" t="s">
        <v>554</v>
      </c>
      <c r="F261" s="8">
        <v>46142</v>
      </c>
      <c r="G261" s="8"/>
      <c r="H261" s="6">
        <f>DynamicTable1[[#This Row],[Fecha de cierre]]-DynamicTable1[[#This Row],[Fecha de creación]]</f>
        <v>-46142</v>
      </c>
      <c r="I261" s="4">
        <f>IF(DynamicTable1[[#This Row],[Permite agregar una columna.]]&lt;=6,1,0)</f>
        <v>1</v>
      </c>
      <c r="J261" s="6" t="str">
        <f>TEXT(DynamicTable1[[#This Row],[Fecha de creación]],"DDDD")</f>
        <v>jueves</v>
      </c>
      <c r="K261" s="6">
        <f>IF(DynamicTable1[[#This Row],[dia]]="Viernes",4,IF(DynamicTable1[[#This Row],[dia]]="Sábado",2,IF(DynamicTable1[[#This Row],[dia]]="Domingo",1,0)))</f>
        <v>0</v>
      </c>
    </row>
    <row r="262" spans="1:11" hidden="1" x14ac:dyDescent="0.25">
      <c r="A262" t="s">
        <v>555</v>
      </c>
      <c r="B262" t="s">
        <v>18</v>
      </c>
      <c r="C262" t="s">
        <v>12</v>
      </c>
      <c r="D262" t="s">
        <v>11</v>
      </c>
      <c r="E262" t="s">
        <v>556</v>
      </c>
      <c r="F262" s="8">
        <v>46142</v>
      </c>
      <c r="G262" s="8" t="s">
        <v>557</v>
      </c>
      <c r="H262" s="6" t="e">
        <f>DynamicTable1[[#This Row],[Fecha de cierre]]-DynamicTable1[[#This Row],[Fecha de creación]]</f>
        <v>#VALUE!</v>
      </c>
      <c r="I262" s="4" t="e">
        <f>IF(DynamicTable1[[#This Row],[Permite agregar una columna.]]&lt;=6,1,0)</f>
        <v>#VALUE!</v>
      </c>
      <c r="J262" s="6" t="str">
        <f>TEXT(DynamicTable1[[#This Row],[Fecha de creación]],"DDDD")</f>
        <v>jueves</v>
      </c>
      <c r="K262" s="6">
        <f>IF(DynamicTable1[[#This Row],[dia]]="Viernes",4,IF(DynamicTable1[[#This Row],[dia]]="Sábado",2,IF(DynamicTable1[[#This Row],[dia]]="Domingo",1,0)))</f>
        <v>0</v>
      </c>
    </row>
    <row r="263" spans="1:11" x14ac:dyDescent="0.25">
      <c r="A263" t="s">
        <v>558</v>
      </c>
      <c r="B263" t="s">
        <v>13</v>
      </c>
      <c r="C263" t="s">
        <v>24</v>
      </c>
      <c r="D263" t="s">
        <v>11</v>
      </c>
      <c r="E263" t="s">
        <v>559</v>
      </c>
      <c r="F263" s="8">
        <v>46142</v>
      </c>
      <c r="G263" s="8">
        <v>46148</v>
      </c>
      <c r="H263" s="6">
        <f>DynamicTable1[[#This Row],[Fecha de cierre]]-DynamicTable1[[#This Row],[Fecha de creación]]</f>
        <v>6</v>
      </c>
      <c r="I263" s="4">
        <f>IF(DynamicTable1[[#This Row],[Permite agregar una columna.]]&lt;=6,1,0)</f>
        <v>1</v>
      </c>
      <c r="J263" s="6" t="str">
        <f>TEXT(DynamicTable1[[#This Row],[Fecha de creación]],"DDDD")</f>
        <v>jueves</v>
      </c>
      <c r="K263" s="6">
        <f>IF(DynamicTable1[[#This Row],[dia]]="Viernes",4,IF(DynamicTable1[[#This Row],[dia]]="Sábado",2,IF(DynamicTable1[[#This Row],[dia]]="Domingo",1,0)))</f>
        <v>0</v>
      </c>
    </row>
    <row r="264" spans="1:11" x14ac:dyDescent="0.25">
      <c r="C264" s="7"/>
      <c r="H264" s="3"/>
      <c r="I264" s="4">
        <f>SUBTOTAL(101,DynamicTable1[Columna1])</f>
        <v>0.95934959349593496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Jaimeliz Millan</dc:creator>
  <cp:lastModifiedBy>Laptop-Sistemas</cp:lastModifiedBy>
  <cp:lastPrinted>2022-06-06T15:05:24Z</cp:lastPrinted>
  <dcterms:created xsi:type="dcterms:W3CDTF">2015-03-13T22:23:17Z</dcterms:created>
  <dcterms:modified xsi:type="dcterms:W3CDTF">2026-05-13T15:55:07Z</dcterms:modified>
</cp:coreProperties>
</file>