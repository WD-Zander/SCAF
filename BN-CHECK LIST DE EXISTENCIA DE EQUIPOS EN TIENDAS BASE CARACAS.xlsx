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 Franklin\Desktop\Indicadores Franklin\2026\Check List De Equipos Abril 2026\"/>
    </mc:Choice>
  </mc:AlternateContent>
  <xr:revisionPtr revIDLastSave="0" documentId="13_ncr:1_{3264221D-E066-4C35-A69A-088484488E96}" xr6:coauthVersionLast="47" xr6:coauthVersionMax="47" xr10:uidLastSave="{00000000-0000-0000-0000-000000000000}"/>
  <bookViews>
    <workbookView xWindow="28680" yWindow="1635" windowWidth="24240" windowHeight="13020" tabRatio="750" xr2:uid="{00000000-000D-0000-FFFF-FFFF00000000}"/>
  </bookViews>
  <sheets>
    <sheet name="BERNARDINO" sheetId="43" r:id="rId1"/>
    <sheet name="DSPARAISO" sheetId="58" r:id="rId2"/>
    <sheet name="PARAISO" sheetId="59" r:id="rId3"/>
    <sheet name="PRESIDENTE" sheetId="60" r:id="rId4"/>
    <sheet name="FLORES" sheetId="61" r:id="rId5"/>
    <sheet name="ANTONIO" sheetId="62" r:id="rId6"/>
    <sheet name="CCCT" sheetId="66" r:id="rId7"/>
    <sheet name="GUARENAS C" sheetId="65" r:id="rId8"/>
    <sheet name="GUARENAS 27" sheetId="67" r:id="rId9"/>
    <sheet name="GUATIRE R" sheetId="64" r:id="rId10"/>
    <sheet name="GUATIRE C" sheetId="68" r:id="rId11"/>
    <sheet name="GUATIRE P" sheetId="69" r:id="rId12"/>
    <sheet name="CAUCAGUA" sheetId="70" r:id="rId13"/>
    <sheet name="HIGUEROTE" sheetId="71" r:id="rId14"/>
    <sheet name="S MARTIN" sheetId="78" r:id="rId15"/>
    <sheet name="NUEVO C" sheetId="82" r:id="rId16"/>
    <sheet name="DSCASTELLANA" sheetId="84" r:id="rId17"/>
    <sheet name="CONSOLIDADO" sheetId="81" r:id="rId18"/>
    <sheet name="MAESTRO" sheetId="75" state="hidden" r:id="rId19"/>
    <sheet name="Hoja2" sheetId="76" state="hidden" r:id="rId20"/>
    <sheet name="Hoja1" sheetId="77" state="hidden" r:id="rId21"/>
  </sheets>
  <definedNames>
    <definedName name="_xlnm.Print_Area" localSheetId="5">ANTONIO!$A$1:$K$36</definedName>
    <definedName name="_xlnm.Print_Area" localSheetId="0">BERNARDINO!$A$1:$L$35</definedName>
    <definedName name="_xlnm.Print_Area" localSheetId="12">CAUCAGUA!$A$1:$K$36</definedName>
    <definedName name="_xlnm.Print_Area" localSheetId="6">CCCT!$A$1:$K$36</definedName>
    <definedName name="_xlnm.Print_Area" localSheetId="16">DSCASTELLANA!$A$1:$K$36</definedName>
    <definedName name="_xlnm.Print_Area" localSheetId="1">DSPARAISO!$A$1:$K$35</definedName>
    <definedName name="_xlnm.Print_Area" localSheetId="4">FLORES!$A$1:$K$36</definedName>
    <definedName name="_xlnm.Print_Area" localSheetId="8">'GUARENAS 27'!$A$1:$K$36</definedName>
    <definedName name="_xlnm.Print_Area" localSheetId="7">'GUARENAS C'!$A$1:$K$36</definedName>
    <definedName name="_xlnm.Print_Area" localSheetId="10">'GUATIRE C'!$A$1:$K$36</definedName>
    <definedName name="_xlnm.Print_Area" localSheetId="11">'GUATIRE P'!$A$1:$K$38</definedName>
    <definedName name="_xlnm.Print_Area" localSheetId="9">'GUATIRE R'!$A$1:$K$36</definedName>
    <definedName name="_xlnm.Print_Area" localSheetId="13">HIGUEROTE!$A$1:$K$36</definedName>
    <definedName name="_xlnm.Print_Area" localSheetId="15">'NUEVO C'!$A$1:$K$36</definedName>
    <definedName name="_xlnm.Print_Area" localSheetId="2">PARAISO!$A$1:$K$36</definedName>
    <definedName name="_xlnm.Print_Area" localSheetId="3">PRESIDENTE!$A$1:$K$36</definedName>
    <definedName name="_xlnm.Print_Area" localSheetId="14">'S MARTIN'!$A$1:$K$37</definedName>
    <definedName name="CUMPLIO" localSheetId="5">#REF!</definedName>
    <definedName name="CUMPLIO" localSheetId="0">#REF!</definedName>
    <definedName name="CUMPLIO" localSheetId="12">#REF!</definedName>
    <definedName name="CUMPLIO" localSheetId="6">#REF!</definedName>
    <definedName name="CUMPLIO" localSheetId="16">#REF!</definedName>
    <definedName name="CUMPLIO" localSheetId="1">#REF!</definedName>
    <definedName name="CUMPLIO" localSheetId="4">#REF!</definedName>
    <definedName name="CUMPLIO" localSheetId="8">#REF!</definedName>
    <definedName name="CUMPLIO" localSheetId="7">#REF!</definedName>
    <definedName name="CUMPLIO" localSheetId="10">#REF!</definedName>
    <definedName name="CUMPLIO" localSheetId="11">#REF!</definedName>
    <definedName name="CUMPLIO" localSheetId="9">#REF!</definedName>
    <definedName name="CUMPLIO" localSheetId="13">#REF!</definedName>
    <definedName name="CUMPLIO" localSheetId="15">#REF!</definedName>
    <definedName name="CUMPLIO" localSheetId="2">#REF!</definedName>
    <definedName name="CUMPLIO" localSheetId="3">#REF!</definedName>
    <definedName name="CUMPLIO">#REF!</definedName>
    <definedName name="EQUIPO" localSheetId="5">#REF!</definedName>
    <definedName name="EQUIPO" localSheetId="0">#REF!</definedName>
    <definedName name="EQUIPO" localSheetId="12">#REF!</definedName>
    <definedName name="EQUIPO" localSheetId="6">#REF!</definedName>
    <definedName name="EQUIPO" localSheetId="16">#REF!</definedName>
    <definedName name="EQUIPO" localSheetId="1">#REF!</definedName>
    <definedName name="EQUIPO" localSheetId="4">#REF!</definedName>
    <definedName name="EQUIPO" localSheetId="8">#REF!</definedName>
    <definedName name="EQUIPO" localSheetId="7">#REF!</definedName>
    <definedName name="EQUIPO" localSheetId="10">#REF!</definedName>
    <definedName name="EQUIPO" localSheetId="11">#REF!</definedName>
    <definedName name="EQUIPO" localSheetId="9">#REF!</definedName>
    <definedName name="EQUIPO" localSheetId="13">#REF!</definedName>
    <definedName name="EQUIPO" localSheetId="15">#REF!</definedName>
    <definedName name="EQUIPO" localSheetId="2">#REF!</definedName>
    <definedName name="EQUIPO" localSheetId="3">#REF!</definedName>
    <definedName name="EQUIPO">#REF!</definedName>
    <definedName name="EQUIPOS" localSheetId="5">#REF!</definedName>
    <definedName name="EQUIPOS" localSheetId="0">#REF!</definedName>
    <definedName name="EQUIPOS" localSheetId="12">#REF!</definedName>
    <definedName name="EQUIPOS" localSheetId="6">#REF!</definedName>
    <definedName name="EQUIPOS" localSheetId="16">#REF!</definedName>
    <definedName name="EQUIPOS" localSheetId="1">#REF!</definedName>
    <definedName name="EQUIPOS" localSheetId="4">#REF!</definedName>
    <definedName name="EQUIPOS" localSheetId="8">#REF!</definedName>
    <definedName name="EQUIPOS" localSheetId="7">#REF!</definedName>
    <definedName name="EQUIPOS" localSheetId="10">#REF!</definedName>
    <definedName name="EQUIPOS" localSheetId="11">#REF!</definedName>
    <definedName name="EQUIPOS" localSheetId="9">#REF!</definedName>
    <definedName name="EQUIPOS" localSheetId="13">#REF!</definedName>
    <definedName name="EQUIPOS" localSheetId="15">#REF!</definedName>
    <definedName name="EQUIPOS" localSheetId="2">#REF!</definedName>
    <definedName name="EQUIPOS" localSheetId="3">#REF!</definedName>
    <definedName name="EQUIPOS">#REF!</definedName>
    <definedName name="LISTA" localSheetId="5">#REF!</definedName>
    <definedName name="LISTA" localSheetId="0">#REF!</definedName>
    <definedName name="LISTA" localSheetId="12">#REF!</definedName>
    <definedName name="LISTA" localSheetId="6">#REF!</definedName>
    <definedName name="LISTA" localSheetId="16">#REF!</definedName>
    <definedName name="LISTA" localSheetId="1">#REF!</definedName>
    <definedName name="LISTA" localSheetId="4">#REF!</definedName>
    <definedName name="LISTA" localSheetId="8">#REF!</definedName>
    <definedName name="LISTA" localSheetId="7">#REF!</definedName>
    <definedName name="LISTA" localSheetId="10">#REF!</definedName>
    <definedName name="LISTA" localSheetId="11">#REF!</definedName>
    <definedName name="LISTA" localSheetId="9">#REF!</definedName>
    <definedName name="LISTA" localSheetId="13">#REF!</definedName>
    <definedName name="LISTA" localSheetId="15">#REF!</definedName>
    <definedName name="LISTA" localSheetId="2">#REF!</definedName>
    <definedName name="LISTA" localSheetId="3">#REF!</definedName>
    <definedName name="LISTA">#REF!</definedName>
    <definedName name="MANTENIMIENTO" localSheetId="5">#REF!</definedName>
    <definedName name="MANTENIMIENTO" localSheetId="0">#REF!</definedName>
    <definedName name="MANTENIMIENTO" localSheetId="12">#REF!</definedName>
    <definedName name="MANTENIMIENTO" localSheetId="6">#REF!</definedName>
    <definedName name="MANTENIMIENTO" localSheetId="16">#REF!</definedName>
    <definedName name="MANTENIMIENTO" localSheetId="1">#REF!</definedName>
    <definedName name="MANTENIMIENTO" localSheetId="4">#REF!</definedName>
    <definedName name="MANTENIMIENTO" localSheetId="8">#REF!</definedName>
    <definedName name="MANTENIMIENTO" localSheetId="7">#REF!</definedName>
    <definedName name="MANTENIMIENTO" localSheetId="10">#REF!</definedName>
    <definedName name="MANTENIMIENTO" localSheetId="11">#REF!</definedName>
    <definedName name="MANTENIMIENTO" localSheetId="9">#REF!</definedName>
    <definedName name="MANTENIMIENTO" localSheetId="13">#REF!</definedName>
    <definedName name="MANTENIMIENTO" localSheetId="15">#REF!</definedName>
    <definedName name="MANTENIMIENTO" localSheetId="2">#REF!</definedName>
    <definedName name="MANTENIMIENTO" localSheetId="3">#REF!</definedName>
    <definedName name="MANTENIMIENTO">#REF!</definedName>
    <definedName name="NUMERACION" localSheetId="5">#REF!</definedName>
    <definedName name="NUMERACION" localSheetId="0">#REF!</definedName>
    <definedName name="NUMERACION" localSheetId="12">#REF!</definedName>
    <definedName name="NUMERACION" localSheetId="6">#REF!</definedName>
    <definedName name="NUMERACION" localSheetId="16">#REF!</definedName>
    <definedName name="NUMERACION" localSheetId="1">#REF!</definedName>
    <definedName name="NUMERACION" localSheetId="4">#REF!</definedName>
    <definedName name="NUMERACION" localSheetId="8">#REF!</definedName>
    <definedName name="NUMERACION" localSheetId="7">#REF!</definedName>
    <definedName name="NUMERACION" localSheetId="10">#REF!</definedName>
    <definedName name="NUMERACION" localSheetId="11">#REF!</definedName>
    <definedName name="NUMERACION" localSheetId="9">#REF!</definedName>
    <definedName name="NUMERACION" localSheetId="13">#REF!</definedName>
    <definedName name="NUMERACION" localSheetId="15">#REF!</definedName>
    <definedName name="NUMERACION" localSheetId="2">#REF!</definedName>
    <definedName name="NUMERACION" localSheetId="3">#REF!</definedName>
    <definedName name="NUMERACION">#REF!</definedName>
    <definedName name="SINO" localSheetId="5">#REF!</definedName>
    <definedName name="SINO" localSheetId="0">#REF!</definedName>
    <definedName name="SINO" localSheetId="12">#REF!</definedName>
    <definedName name="SINO" localSheetId="6">#REF!</definedName>
    <definedName name="SINO" localSheetId="16">#REF!</definedName>
    <definedName name="SINO" localSheetId="1">#REF!</definedName>
    <definedName name="SINO" localSheetId="4">#REF!</definedName>
    <definedName name="SINO" localSheetId="8">#REF!</definedName>
    <definedName name="SINO" localSheetId="7">#REF!</definedName>
    <definedName name="SINO" localSheetId="10">#REF!</definedName>
    <definedName name="SINO" localSheetId="11">#REF!</definedName>
    <definedName name="SINO" localSheetId="9">#REF!</definedName>
    <definedName name="SINO" localSheetId="13">#REF!</definedName>
    <definedName name="SINO" localSheetId="15">#REF!</definedName>
    <definedName name="SINO" localSheetId="2">#REF!</definedName>
    <definedName name="SINO" localSheetId="3">#REF!</definedName>
    <definedName name="SINO">#REF!</definedName>
    <definedName name="SUCURSALES">MAESTRO!$A$1:$A$21</definedName>
    <definedName name="TIENDAS" localSheetId="5">#REF!</definedName>
    <definedName name="TIENDAS" localSheetId="0">#REF!</definedName>
    <definedName name="TIENDAS" localSheetId="12">#REF!</definedName>
    <definedName name="TIENDAS" localSheetId="6">#REF!</definedName>
    <definedName name="TIENDAS" localSheetId="16">#REF!</definedName>
    <definedName name="TIENDAS" localSheetId="1">#REF!</definedName>
    <definedName name="TIENDAS" localSheetId="4">#REF!</definedName>
    <definedName name="TIENDAS" localSheetId="8">#REF!</definedName>
    <definedName name="TIENDAS" localSheetId="7">#REF!</definedName>
    <definedName name="TIENDAS" localSheetId="10">#REF!</definedName>
    <definedName name="TIENDAS" localSheetId="11">#REF!</definedName>
    <definedName name="TIENDAS" localSheetId="9">#REF!</definedName>
    <definedName name="TIENDAS" localSheetId="13">#REF!</definedName>
    <definedName name="TIENDAS" localSheetId="15">#REF!</definedName>
    <definedName name="TIENDAS" localSheetId="2">#REF!</definedName>
    <definedName name="TIENDAS" localSheetId="3">#REF!</definedName>
    <definedName name="TIEND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0" i="43" l="1"/>
  <c r="U19" i="43"/>
  <c r="U18" i="43"/>
  <c r="S57" i="81" l="1"/>
  <c r="S56" i="81"/>
  <c r="S55" i="81"/>
  <c r="S53" i="81"/>
  <c r="S52" i="81"/>
  <c r="S54" i="81" s="1"/>
  <c r="S51" i="81"/>
  <c r="S49" i="81"/>
  <c r="S48" i="81"/>
  <c r="S47" i="81"/>
  <c r="S45" i="81"/>
  <c r="S44" i="81"/>
  <c r="S43" i="81"/>
  <c r="S41" i="81"/>
  <c r="S40" i="81"/>
  <c r="S39" i="81"/>
  <c r="S37" i="81"/>
  <c r="S36" i="81"/>
  <c r="S38" i="81" s="1"/>
  <c r="S33" i="81"/>
  <c r="S32" i="81"/>
  <c r="S34" i="81" s="1"/>
  <c r="S35" i="81"/>
  <c r="S31" i="81"/>
  <c r="S29" i="81"/>
  <c r="S28" i="81"/>
  <c r="S27" i="81"/>
  <c r="S25" i="81"/>
  <c r="S24" i="81"/>
  <c r="S26" i="81" s="1"/>
  <c r="S23" i="81"/>
  <c r="S21" i="81"/>
  <c r="S20" i="81"/>
  <c r="S19" i="81"/>
  <c r="S17" i="81"/>
  <c r="S16" i="81"/>
  <c r="S15" i="81"/>
  <c r="S12" i="81"/>
  <c r="S11" i="81"/>
  <c r="S8" i="81"/>
  <c r="S7" i="81"/>
  <c r="S13" i="81"/>
  <c r="S9" i="81"/>
  <c r="S5" i="81"/>
  <c r="S4" i="81"/>
  <c r="S3" i="81"/>
  <c r="S46" i="81" l="1"/>
  <c r="S6" i="81"/>
  <c r="S42" i="81"/>
  <c r="S22" i="81"/>
  <c r="S50" i="81"/>
  <c r="S14" i="81"/>
  <c r="S10" i="81"/>
  <c r="S18" i="81"/>
  <c r="S58" i="81"/>
  <c r="S30" i="81"/>
  <c r="K61" i="84"/>
  <c r="K59" i="84"/>
  <c r="K58" i="84"/>
  <c r="K57" i="84"/>
  <c r="K56" i="84"/>
  <c r="K55" i="84"/>
  <c r="K54" i="84"/>
  <c r="K53" i="84"/>
  <c r="K52" i="84"/>
  <c r="K51" i="84"/>
  <c r="K50" i="84"/>
  <c r="K49" i="84"/>
  <c r="K48" i="84"/>
  <c r="K47" i="84"/>
  <c r="K46" i="84"/>
  <c r="K45" i="84"/>
  <c r="K44" i="84"/>
  <c r="K43" i="84"/>
  <c r="K42" i="84"/>
  <c r="K41" i="84"/>
  <c r="G29" i="84"/>
  <c r="G28" i="84"/>
  <c r="G27" i="84"/>
  <c r="G26" i="84"/>
  <c r="G25" i="84"/>
  <c r="G24" i="84"/>
  <c r="G23" i="84"/>
  <c r="G15" i="84"/>
  <c r="G14" i="84"/>
  <c r="G13" i="84"/>
  <c r="G12" i="84"/>
  <c r="G11" i="84"/>
  <c r="G10" i="84"/>
  <c r="G9" i="84"/>
  <c r="S59" i="81" l="1"/>
  <c r="G30" i="84"/>
  <c r="R57" i="81"/>
  <c r="R56" i="81"/>
  <c r="R55" i="81"/>
  <c r="R53" i="81"/>
  <c r="R52" i="81"/>
  <c r="R51" i="81"/>
  <c r="R49" i="81"/>
  <c r="R48" i="81"/>
  <c r="R47" i="81"/>
  <c r="R45" i="81"/>
  <c r="R44" i="81"/>
  <c r="R43" i="81"/>
  <c r="R41" i="81"/>
  <c r="R40" i="81"/>
  <c r="R39" i="81"/>
  <c r="R37" i="81"/>
  <c r="R36" i="81"/>
  <c r="R35" i="81"/>
  <c r="R33" i="81"/>
  <c r="R32" i="81"/>
  <c r="R31" i="81"/>
  <c r="R29" i="81"/>
  <c r="R28" i="81"/>
  <c r="R27" i="81"/>
  <c r="R25" i="81"/>
  <c r="R24" i="81"/>
  <c r="R23" i="81"/>
  <c r="R21" i="81"/>
  <c r="R20" i="81"/>
  <c r="R19" i="81"/>
  <c r="R17" i="81"/>
  <c r="R16" i="81"/>
  <c r="R15" i="81"/>
  <c r="R13" i="81"/>
  <c r="R12" i="81"/>
  <c r="R11" i="81"/>
  <c r="R9" i="81"/>
  <c r="R8" i="81"/>
  <c r="R7" i="81"/>
  <c r="R5" i="81"/>
  <c r="Q57" i="81"/>
  <c r="Q56" i="81"/>
  <c r="Q55" i="81"/>
  <c r="Q53" i="81"/>
  <c r="Q52" i="81"/>
  <c r="Q51" i="81"/>
  <c r="Q49" i="81"/>
  <c r="Q48" i="81"/>
  <c r="Q47" i="81"/>
  <c r="Q45" i="81"/>
  <c r="Q44" i="81"/>
  <c r="Q43" i="81"/>
  <c r="Q41" i="81"/>
  <c r="Q40" i="81"/>
  <c r="Q39" i="81"/>
  <c r="Q37" i="81"/>
  <c r="Q36" i="81"/>
  <c r="Q35" i="81"/>
  <c r="Q33" i="81"/>
  <c r="Q32" i="81"/>
  <c r="Q31" i="81"/>
  <c r="Q29" i="81"/>
  <c r="Q28" i="81"/>
  <c r="Q27" i="81"/>
  <c r="Q25" i="81"/>
  <c r="Q24" i="81"/>
  <c r="Q23" i="81"/>
  <c r="Q21" i="81"/>
  <c r="Q20" i="81"/>
  <c r="Q19" i="81"/>
  <c r="Q17" i="81"/>
  <c r="Q16" i="81"/>
  <c r="Q15" i="81"/>
  <c r="Q13" i="81"/>
  <c r="Q12" i="81"/>
  <c r="Q11" i="81"/>
  <c r="Q9" i="81"/>
  <c r="Q8" i="81"/>
  <c r="Q7" i="81"/>
  <c r="Q5" i="81"/>
  <c r="Q4" i="81"/>
  <c r="Q3" i="81"/>
  <c r="P57" i="81"/>
  <c r="P56" i="81"/>
  <c r="P55" i="81"/>
  <c r="P53" i="81"/>
  <c r="P52" i="81"/>
  <c r="P51" i="81"/>
  <c r="P49" i="81"/>
  <c r="P48" i="81"/>
  <c r="P47" i="81"/>
  <c r="P45" i="81"/>
  <c r="P44" i="81"/>
  <c r="P43" i="81"/>
  <c r="P41" i="81"/>
  <c r="P40" i="81"/>
  <c r="P39" i="81"/>
  <c r="P37" i="81"/>
  <c r="P36" i="81"/>
  <c r="P35" i="81"/>
  <c r="P33" i="81"/>
  <c r="P32" i="81"/>
  <c r="P31" i="81"/>
  <c r="P29" i="81"/>
  <c r="P28" i="81"/>
  <c r="P27" i="81"/>
  <c r="P25" i="81"/>
  <c r="P24" i="81"/>
  <c r="P23" i="81"/>
  <c r="P21" i="81"/>
  <c r="P20" i="81"/>
  <c r="P19" i="81"/>
  <c r="P17" i="81"/>
  <c r="P16" i="81"/>
  <c r="P15" i="81"/>
  <c r="P13" i="81"/>
  <c r="P12" i="81"/>
  <c r="P11" i="81"/>
  <c r="P9" i="81"/>
  <c r="P8" i="81"/>
  <c r="P7" i="81"/>
  <c r="P5" i="81"/>
  <c r="P4" i="81"/>
  <c r="P3" i="81"/>
  <c r="O57" i="81"/>
  <c r="O56" i="81"/>
  <c r="O55" i="81"/>
  <c r="O53" i="81"/>
  <c r="O52" i="81"/>
  <c r="O51" i="81"/>
  <c r="O49" i="81"/>
  <c r="O48" i="81"/>
  <c r="O47" i="81"/>
  <c r="O45" i="81"/>
  <c r="O44" i="81"/>
  <c r="O43" i="81"/>
  <c r="O41" i="81"/>
  <c r="O40" i="81"/>
  <c r="O39" i="81"/>
  <c r="O37" i="81"/>
  <c r="O36" i="81"/>
  <c r="O35" i="81"/>
  <c r="O33" i="81"/>
  <c r="O32" i="81"/>
  <c r="O31" i="81"/>
  <c r="O29" i="81"/>
  <c r="O28" i="81"/>
  <c r="O27" i="81"/>
  <c r="O25" i="81"/>
  <c r="O24" i="81"/>
  <c r="O23" i="81"/>
  <c r="O21" i="81"/>
  <c r="O20" i="81"/>
  <c r="O19" i="81"/>
  <c r="O17" i="81"/>
  <c r="O16" i="81"/>
  <c r="O15" i="81"/>
  <c r="O13" i="81"/>
  <c r="O12" i="81"/>
  <c r="O11" i="81"/>
  <c r="O9" i="81"/>
  <c r="O8" i="81"/>
  <c r="O7" i="81"/>
  <c r="O5" i="81"/>
  <c r="O4" i="81"/>
  <c r="O3" i="81"/>
  <c r="N57" i="81"/>
  <c r="N56" i="81"/>
  <c r="N55" i="81"/>
  <c r="N53" i="81"/>
  <c r="N52" i="81"/>
  <c r="N51" i="81"/>
  <c r="N49" i="81"/>
  <c r="N48" i="81"/>
  <c r="N47" i="81"/>
  <c r="N45" i="81"/>
  <c r="N44" i="81"/>
  <c r="N43" i="81"/>
  <c r="N41" i="81"/>
  <c r="N40" i="81"/>
  <c r="N39" i="81"/>
  <c r="N37" i="81"/>
  <c r="N36" i="81"/>
  <c r="N35" i="81"/>
  <c r="N33" i="81"/>
  <c r="N32" i="81"/>
  <c r="N31" i="81"/>
  <c r="N29" i="81"/>
  <c r="N28" i="81"/>
  <c r="N27" i="81"/>
  <c r="N25" i="81"/>
  <c r="N24" i="81"/>
  <c r="N23" i="81"/>
  <c r="N21" i="81"/>
  <c r="N20" i="81"/>
  <c r="N19" i="81"/>
  <c r="N17" i="81"/>
  <c r="N16" i="81"/>
  <c r="N15" i="81"/>
  <c r="N13" i="81"/>
  <c r="N12" i="81"/>
  <c r="N11" i="81"/>
  <c r="N9" i="81"/>
  <c r="N8" i="81"/>
  <c r="N7" i="81"/>
  <c r="N5" i="81"/>
  <c r="N4" i="81"/>
  <c r="N3" i="81"/>
  <c r="M57" i="81"/>
  <c r="M56" i="81"/>
  <c r="M55" i="81"/>
  <c r="M53" i="81"/>
  <c r="M52" i="81"/>
  <c r="M51" i="81"/>
  <c r="M49" i="81"/>
  <c r="M48" i="81"/>
  <c r="M47" i="81"/>
  <c r="M45" i="81"/>
  <c r="M44" i="81"/>
  <c r="M43" i="81"/>
  <c r="M41" i="81"/>
  <c r="M40" i="81"/>
  <c r="M39" i="81"/>
  <c r="M37" i="81"/>
  <c r="M36" i="81"/>
  <c r="M35" i="81"/>
  <c r="M33" i="81"/>
  <c r="M32" i="81"/>
  <c r="M31" i="81"/>
  <c r="M29" i="81"/>
  <c r="M28" i="81"/>
  <c r="M27" i="81"/>
  <c r="M25" i="81"/>
  <c r="M24" i="81"/>
  <c r="M23" i="81"/>
  <c r="M21" i="81"/>
  <c r="M20" i="81"/>
  <c r="M19" i="81"/>
  <c r="M17" i="81"/>
  <c r="M16" i="81"/>
  <c r="M15" i="81"/>
  <c r="M13" i="81"/>
  <c r="M12" i="81"/>
  <c r="M11" i="81"/>
  <c r="M9" i="81"/>
  <c r="M8" i="81"/>
  <c r="M7" i="81"/>
  <c r="M5" i="81"/>
  <c r="M4" i="81"/>
  <c r="M3" i="81"/>
  <c r="L57" i="81"/>
  <c r="L56" i="81"/>
  <c r="L55" i="81"/>
  <c r="L53" i="81"/>
  <c r="L52" i="81"/>
  <c r="L51" i="81"/>
  <c r="L49" i="81"/>
  <c r="L48" i="81"/>
  <c r="L47" i="81"/>
  <c r="L45" i="81"/>
  <c r="L44" i="81"/>
  <c r="L43" i="81"/>
  <c r="L41" i="81"/>
  <c r="L40" i="81"/>
  <c r="L39" i="81"/>
  <c r="L37" i="81"/>
  <c r="L36" i="81"/>
  <c r="L35" i="81"/>
  <c r="L33" i="81"/>
  <c r="L31" i="81"/>
  <c r="L32" i="81"/>
  <c r="L29" i="81"/>
  <c r="L28" i="81"/>
  <c r="L27" i="81"/>
  <c r="L25" i="81"/>
  <c r="L24" i="81"/>
  <c r="L23" i="81"/>
  <c r="L21" i="81"/>
  <c r="L20" i="81"/>
  <c r="L19" i="81"/>
  <c r="L17" i="81"/>
  <c r="L16" i="81"/>
  <c r="L15" i="81"/>
  <c r="L13" i="81"/>
  <c r="L12" i="81"/>
  <c r="L11" i="81"/>
  <c r="L9" i="81"/>
  <c r="L8" i="81"/>
  <c r="L7" i="81"/>
  <c r="L5" i="81"/>
  <c r="L4" i="81"/>
  <c r="L3" i="81"/>
  <c r="K57" i="81"/>
  <c r="K56" i="81"/>
  <c r="K55" i="81"/>
  <c r="K53" i="81"/>
  <c r="K52" i="81"/>
  <c r="K51" i="81"/>
  <c r="K49" i="81"/>
  <c r="K48" i="81"/>
  <c r="K47" i="81"/>
  <c r="K45" i="81"/>
  <c r="K44" i="81"/>
  <c r="K43" i="81"/>
  <c r="K41" i="81"/>
  <c r="K40" i="81"/>
  <c r="K39" i="81"/>
  <c r="K37" i="81"/>
  <c r="K36" i="81"/>
  <c r="K35" i="81"/>
  <c r="K33" i="81"/>
  <c r="K32" i="81"/>
  <c r="K31" i="81"/>
  <c r="K29" i="81"/>
  <c r="K28" i="81"/>
  <c r="K27" i="81"/>
  <c r="K25" i="81"/>
  <c r="K24" i="81"/>
  <c r="K23" i="81"/>
  <c r="K21" i="81"/>
  <c r="K20" i="81"/>
  <c r="K19" i="81"/>
  <c r="K17" i="81"/>
  <c r="K16" i="81"/>
  <c r="K15" i="81"/>
  <c r="K13" i="81"/>
  <c r="K12" i="81"/>
  <c r="K11" i="81"/>
  <c r="K9" i="81"/>
  <c r="K8" i="81"/>
  <c r="K7" i="81"/>
  <c r="K5" i="81"/>
  <c r="K4" i="81"/>
  <c r="K3" i="81"/>
  <c r="J57" i="81"/>
  <c r="J56" i="81"/>
  <c r="J55" i="81"/>
  <c r="J53" i="81"/>
  <c r="J52" i="81"/>
  <c r="J51" i="81"/>
  <c r="J49" i="81"/>
  <c r="J48" i="81"/>
  <c r="J47" i="81"/>
  <c r="J45" i="81"/>
  <c r="J44" i="81"/>
  <c r="J43" i="81"/>
  <c r="J41" i="81"/>
  <c r="J40" i="81"/>
  <c r="J39" i="81"/>
  <c r="J37" i="81"/>
  <c r="J36" i="81"/>
  <c r="J35" i="81"/>
  <c r="J33" i="81"/>
  <c r="J32" i="81"/>
  <c r="J31" i="81"/>
  <c r="J29" i="81"/>
  <c r="J28" i="81"/>
  <c r="J27" i="81"/>
  <c r="J25" i="81"/>
  <c r="J24" i="81"/>
  <c r="J23" i="81"/>
  <c r="J21" i="81"/>
  <c r="J20" i="81"/>
  <c r="J19" i="81"/>
  <c r="J17" i="81"/>
  <c r="J16" i="81"/>
  <c r="J15" i="81"/>
  <c r="J13" i="81"/>
  <c r="J12" i="81"/>
  <c r="J11" i="81"/>
  <c r="J9" i="81"/>
  <c r="J8" i="81"/>
  <c r="J7" i="81"/>
  <c r="J5" i="81"/>
  <c r="J4" i="81"/>
  <c r="J3" i="81"/>
  <c r="I57" i="81"/>
  <c r="I56" i="81"/>
  <c r="I55" i="81"/>
  <c r="I53" i="81"/>
  <c r="I52" i="81"/>
  <c r="I51" i="81"/>
  <c r="I49" i="81"/>
  <c r="I48" i="81"/>
  <c r="I47" i="81"/>
  <c r="I45" i="81"/>
  <c r="I44" i="81"/>
  <c r="I43" i="81"/>
  <c r="I40" i="81"/>
  <c r="I39" i="81"/>
  <c r="I37" i="81"/>
  <c r="I36" i="81"/>
  <c r="I35" i="81"/>
  <c r="I33" i="81"/>
  <c r="I32" i="81"/>
  <c r="I31" i="81"/>
  <c r="I29" i="81"/>
  <c r="I28" i="81"/>
  <c r="I27" i="81"/>
  <c r="I25" i="81"/>
  <c r="I24" i="81"/>
  <c r="I21" i="81"/>
  <c r="I20" i="81"/>
  <c r="I19" i="81"/>
  <c r="I17" i="81"/>
  <c r="I16" i="81"/>
  <c r="I15" i="81"/>
  <c r="I13" i="81"/>
  <c r="I12" i="81"/>
  <c r="I11" i="81"/>
  <c r="I9" i="81"/>
  <c r="I8" i="81"/>
  <c r="I7" i="81"/>
  <c r="I5" i="81"/>
  <c r="I4" i="81"/>
  <c r="H57" i="81"/>
  <c r="H56" i="81"/>
  <c r="H55" i="81"/>
  <c r="H53" i="81"/>
  <c r="H52" i="81"/>
  <c r="H51" i="81"/>
  <c r="H49" i="81"/>
  <c r="H48" i="81"/>
  <c r="H47" i="81"/>
  <c r="H45" i="81"/>
  <c r="H44" i="81"/>
  <c r="H43" i="81"/>
  <c r="H41" i="81"/>
  <c r="H40" i="81"/>
  <c r="H39" i="81"/>
  <c r="H37" i="81"/>
  <c r="H36" i="81"/>
  <c r="H35" i="81"/>
  <c r="H33" i="81"/>
  <c r="H32" i="81"/>
  <c r="H31" i="81"/>
  <c r="H29" i="81"/>
  <c r="H28" i="81"/>
  <c r="H27" i="81"/>
  <c r="H25" i="81"/>
  <c r="H24" i="81"/>
  <c r="H23" i="81"/>
  <c r="H21" i="81"/>
  <c r="H20" i="81"/>
  <c r="H19" i="81"/>
  <c r="I3" i="81"/>
  <c r="H17" i="81"/>
  <c r="H16" i="81"/>
  <c r="H15" i="81"/>
  <c r="Q42" i="81" l="1"/>
  <c r="P14" i="81"/>
  <c r="R30" i="81"/>
  <c r="H42" i="81"/>
  <c r="J34" i="81"/>
  <c r="R54" i="81"/>
  <c r="H13" i="81"/>
  <c r="H12" i="81"/>
  <c r="H11" i="81"/>
  <c r="H9" i="81"/>
  <c r="H8" i="81"/>
  <c r="H7" i="81"/>
  <c r="H5" i="81"/>
  <c r="H4" i="81"/>
  <c r="H3" i="81"/>
  <c r="G57" i="81"/>
  <c r="G56" i="81"/>
  <c r="G55" i="81"/>
  <c r="G53" i="81"/>
  <c r="G52" i="81"/>
  <c r="G51" i="81"/>
  <c r="G49" i="81"/>
  <c r="G48" i="81"/>
  <c r="G47" i="81"/>
  <c r="G45" i="81"/>
  <c r="G44" i="81"/>
  <c r="G43" i="81"/>
  <c r="G41" i="81"/>
  <c r="G40" i="81"/>
  <c r="T40" i="81" s="1"/>
  <c r="G39" i="81"/>
  <c r="G37" i="81"/>
  <c r="G36" i="81"/>
  <c r="G35" i="81"/>
  <c r="H34" i="81"/>
  <c r="I34" i="81"/>
  <c r="K34" i="81"/>
  <c r="L34" i="81"/>
  <c r="M34" i="81"/>
  <c r="N34" i="81"/>
  <c r="O34" i="81"/>
  <c r="P34" i="81"/>
  <c r="Q34" i="81"/>
  <c r="R34" i="81"/>
  <c r="F34" i="81"/>
  <c r="G33" i="81"/>
  <c r="G32" i="81"/>
  <c r="G31" i="81"/>
  <c r="G29" i="81"/>
  <c r="G28" i="81"/>
  <c r="G27" i="81"/>
  <c r="G25" i="81"/>
  <c r="G24" i="81"/>
  <c r="G23" i="81"/>
  <c r="G21" i="81"/>
  <c r="G20" i="81"/>
  <c r="G19" i="81"/>
  <c r="G17" i="81"/>
  <c r="G16" i="81"/>
  <c r="G15" i="81"/>
  <c r="G13" i="81"/>
  <c r="G12" i="81"/>
  <c r="G11" i="81"/>
  <c r="G9" i="81"/>
  <c r="G8" i="81"/>
  <c r="G7" i="81"/>
  <c r="G5" i="81"/>
  <c r="G4" i="81"/>
  <c r="F4" i="81"/>
  <c r="E57" i="81"/>
  <c r="E56" i="81"/>
  <c r="E55" i="81"/>
  <c r="E53" i="81"/>
  <c r="E52" i="81"/>
  <c r="E51" i="81"/>
  <c r="E49" i="81"/>
  <c r="E48" i="81"/>
  <c r="E47" i="81"/>
  <c r="E45" i="81"/>
  <c r="E44" i="81"/>
  <c r="E43" i="81"/>
  <c r="E41" i="81"/>
  <c r="E40" i="81"/>
  <c r="E39" i="81"/>
  <c r="E37" i="81"/>
  <c r="E36" i="81"/>
  <c r="E35" i="81"/>
  <c r="E33" i="81"/>
  <c r="E32" i="81"/>
  <c r="E31" i="81"/>
  <c r="E29" i="81"/>
  <c r="E28" i="81"/>
  <c r="E27" i="81"/>
  <c r="E25" i="81"/>
  <c r="E24" i="81"/>
  <c r="E23" i="81"/>
  <c r="E21" i="81"/>
  <c r="E20" i="81"/>
  <c r="E19" i="81"/>
  <c r="E17" i="81"/>
  <c r="E16" i="81"/>
  <c r="E15" i="81"/>
  <c r="E13" i="81"/>
  <c r="E12" i="81"/>
  <c r="E11" i="81"/>
  <c r="E9" i="81"/>
  <c r="E8" i="81"/>
  <c r="E7" i="81"/>
  <c r="D57" i="81"/>
  <c r="D56" i="81"/>
  <c r="D55" i="81"/>
  <c r="D53" i="81"/>
  <c r="D52" i="81"/>
  <c r="D51" i="81"/>
  <c r="D49" i="81"/>
  <c r="D48" i="81"/>
  <c r="D47" i="81"/>
  <c r="D45" i="81"/>
  <c r="D44" i="81"/>
  <c r="D43" i="81"/>
  <c r="D41" i="81"/>
  <c r="D39" i="81"/>
  <c r="D40" i="81"/>
  <c r="D37" i="81"/>
  <c r="D36" i="81"/>
  <c r="D35" i="81"/>
  <c r="D33" i="81"/>
  <c r="D32" i="81"/>
  <c r="D31" i="81"/>
  <c r="D29" i="81"/>
  <c r="D28" i="81"/>
  <c r="D27" i="81"/>
  <c r="D25" i="81"/>
  <c r="D24" i="81"/>
  <c r="D23" i="81"/>
  <c r="D21" i="81"/>
  <c r="D20" i="81"/>
  <c r="D19" i="81"/>
  <c r="D17" i="81"/>
  <c r="D16" i="81"/>
  <c r="D15" i="81"/>
  <c r="D13" i="81"/>
  <c r="D12" i="81"/>
  <c r="D11" i="81"/>
  <c r="D9" i="81"/>
  <c r="D8" i="81"/>
  <c r="D7" i="81"/>
  <c r="C57" i="81"/>
  <c r="C56" i="81"/>
  <c r="C55" i="81"/>
  <c r="C53" i="81"/>
  <c r="C52" i="81"/>
  <c r="C51" i="81"/>
  <c r="C49" i="81"/>
  <c r="C48" i="81"/>
  <c r="C47" i="81"/>
  <c r="C45" i="81"/>
  <c r="C44" i="81"/>
  <c r="C43" i="81"/>
  <c r="C41" i="81"/>
  <c r="C40" i="81"/>
  <c r="C39" i="81"/>
  <c r="D3" i="81"/>
  <c r="C37" i="81"/>
  <c r="C36" i="81"/>
  <c r="C35" i="81"/>
  <c r="C33" i="81"/>
  <c r="C32" i="81"/>
  <c r="C31" i="81"/>
  <c r="C29" i="81"/>
  <c r="C28" i="81"/>
  <c r="C27" i="81"/>
  <c r="C25" i="81"/>
  <c r="C24" i="81"/>
  <c r="C23" i="81"/>
  <c r="C21" i="81"/>
  <c r="T21" i="81" s="1"/>
  <c r="C20" i="81"/>
  <c r="T20" i="81" s="1"/>
  <c r="C19" i="81"/>
  <c r="T19" i="81" s="1"/>
  <c r="C17" i="81"/>
  <c r="C16" i="81"/>
  <c r="C15" i="81"/>
  <c r="C13" i="81"/>
  <c r="C12" i="81"/>
  <c r="C11" i="81"/>
  <c r="C9" i="81"/>
  <c r="C8" i="81"/>
  <c r="C7" i="81"/>
  <c r="T39" i="81" l="1"/>
  <c r="T41" i="81"/>
  <c r="E30" i="81"/>
  <c r="E26" i="81"/>
  <c r="G34" i="81"/>
  <c r="E34" i="81"/>
  <c r="D34" i="81"/>
  <c r="C34" i="81"/>
  <c r="E54" i="81"/>
  <c r="G3" i="81"/>
  <c r="F3" i="81"/>
  <c r="E5" i="81"/>
  <c r="E4" i="81"/>
  <c r="E3" i="81"/>
  <c r="R58" i="81"/>
  <c r="R50" i="81"/>
  <c r="R46" i="81"/>
  <c r="R42" i="81"/>
  <c r="R38" i="81"/>
  <c r="R26" i="81"/>
  <c r="R22" i="81"/>
  <c r="R18" i="81"/>
  <c r="R14" i="81"/>
  <c r="R10" i="81"/>
  <c r="R4" i="81"/>
  <c r="R6" i="81" s="1"/>
  <c r="R3" i="81"/>
  <c r="D5" i="81"/>
  <c r="D4" i="81"/>
  <c r="C5" i="81"/>
  <c r="C4" i="81"/>
  <c r="C3" i="81"/>
  <c r="R59" i="81" l="1"/>
  <c r="G29" i="43"/>
  <c r="K61" i="82"/>
  <c r="K60" i="82"/>
  <c r="K59" i="82"/>
  <c r="K58" i="82"/>
  <c r="K57" i="82"/>
  <c r="K56" i="82"/>
  <c r="K55" i="82"/>
  <c r="K54" i="82"/>
  <c r="K53" i="82"/>
  <c r="K52" i="82"/>
  <c r="K51" i="82"/>
  <c r="K50" i="82"/>
  <c r="K49" i="82"/>
  <c r="K48" i="82"/>
  <c r="K47" i="82"/>
  <c r="K46" i="82"/>
  <c r="K45" i="82"/>
  <c r="K44" i="82"/>
  <c r="K43" i="82"/>
  <c r="K42" i="82"/>
  <c r="K41" i="82"/>
  <c r="G29" i="82"/>
  <c r="G28" i="82"/>
  <c r="G27" i="82"/>
  <c r="G26" i="82"/>
  <c r="G25" i="82"/>
  <c r="G24" i="82"/>
  <c r="G23" i="82"/>
  <c r="G15" i="82"/>
  <c r="G14" i="82"/>
  <c r="G13" i="82"/>
  <c r="G12" i="82"/>
  <c r="G11" i="82"/>
  <c r="G10" i="82"/>
  <c r="G9" i="82"/>
  <c r="G30" i="82" l="1"/>
  <c r="H58" i="81"/>
  <c r="E58" i="81"/>
  <c r="D30" i="81"/>
  <c r="F30" i="81"/>
  <c r="G30" i="81"/>
  <c r="H30" i="81"/>
  <c r="I30" i="81"/>
  <c r="J30" i="81"/>
  <c r="K30" i="81"/>
  <c r="L30" i="81"/>
  <c r="M30" i="81"/>
  <c r="N30" i="81"/>
  <c r="O30" i="81"/>
  <c r="P30" i="81"/>
  <c r="Q30" i="81"/>
  <c r="G27" i="78"/>
  <c r="G26" i="71"/>
  <c r="G26" i="70"/>
  <c r="G28" i="69"/>
  <c r="G26" i="68"/>
  <c r="G26" i="67"/>
  <c r="G26" i="64"/>
  <c r="G26" i="66"/>
  <c r="G27" i="66"/>
  <c r="G26" i="65"/>
  <c r="G26" i="62"/>
  <c r="G26" i="61"/>
  <c r="G26" i="60"/>
  <c r="G26" i="59"/>
  <c r="G25" i="59"/>
  <c r="G27" i="59"/>
  <c r="G26" i="58"/>
  <c r="G26" i="43"/>
  <c r="D42" i="81"/>
  <c r="E42" i="81"/>
  <c r="F42" i="81"/>
  <c r="G42" i="81"/>
  <c r="I42" i="81"/>
  <c r="J42" i="81"/>
  <c r="K42" i="81"/>
  <c r="L42" i="81"/>
  <c r="M42" i="81"/>
  <c r="N42" i="81"/>
  <c r="O42" i="81"/>
  <c r="P42" i="81"/>
  <c r="C42" i="81"/>
  <c r="D58" i="81" l="1"/>
  <c r="F58" i="81"/>
  <c r="G58" i="81"/>
  <c r="I58" i="81"/>
  <c r="J58" i="81"/>
  <c r="K58" i="81"/>
  <c r="L58" i="81"/>
  <c r="M58" i="81"/>
  <c r="N58" i="81"/>
  <c r="O58" i="81"/>
  <c r="P58" i="81"/>
  <c r="Q58" i="81"/>
  <c r="C58" i="81"/>
  <c r="D54" i="81"/>
  <c r="F54" i="81"/>
  <c r="G54" i="81"/>
  <c r="H54" i="81"/>
  <c r="I54" i="81"/>
  <c r="J54" i="81"/>
  <c r="K54" i="81"/>
  <c r="L54" i="81"/>
  <c r="M54" i="81"/>
  <c r="N54" i="81"/>
  <c r="O54" i="81"/>
  <c r="P54" i="81"/>
  <c r="Q54" i="81"/>
  <c r="C54" i="81"/>
  <c r="D50" i="81"/>
  <c r="E50" i="81"/>
  <c r="F50" i="81"/>
  <c r="G50" i="81"/>
  <c r="H50" i="81"/>
  <c r="I50" i="81"/>
  <c r="J50" i="81"/>
  <c r="K50" i="81"/>
  <c r="L50" i="81"/>
  <c r="M50" i="81"/>
  <c r="N50" i="81"/>
  <c r="O50" i="81"/>
  <c r="P50" i="81"/>
  <c r="Q50" i="81"/>
  <c r="C50" i="81"/>
  <c r="T56" i="81"/>
  <c r="T57" i="81"/>
  <c r="T55" i="81"/>
  <c r="T52" i="81"/>
  <c r="T53" i="81"/>
  <c r="T51" i="81"/>
  <c r="T48" i="81"/>
  <c r="T49" i="81"/>
  <c r="T47" i="81"/>
  <c r="T44" i="81"/>
  <c r="T45" i="81"/>
  <c r="T43" i="81"/>
  <c r="T36" i="81"/>
  <c r="T37" i="81"/>
  <c r="T35" i="81"/>
  <c r="T32" i="81"/>
  <c r="T33" i="81"/>
  <c r="T31" i="81"/>
  <c r="T28" i="81"/>
  <c r="T29" i="81"/>
  <c r="T27" i="81"/>
  <c r="T23" i="81"/>
  <c r="T24" i="81"/>
  <c r="T25" i="81"/>
  <c r="T16" i="81"/>
  <c r="T17" i="81"/>
  <c r="T15" i="81"/>
  <c r="T12" i="81"/>
  <c r="T13" i="81"/>
  <c r="T11" i="81"/>
  <c r="T34" i="81" l="1"/>
  <c r="T54" i="81"/>
  <c r="T42" i="81"/>
  <c r="T58" i="81"/>
  <c r="T30" i="81"/>
  <c r="T50" i="81"/>
  <c r="T8" i="81"/>
  <c r="T9" i="81"/>
  <c r="T7" i="81"/>
  <c r="T4" i="81"/>
  <c r="T5" i="81"/>
  <c r="T3" i="81"/>
  <c r="D46" i="81"/>
  <c r="E46" i="81"/>
  <c r="F46" i="81"/>
  <c r="G46" i="81"/>
  <c r="H46" i="81"/>
  <c r="I46" i="81"/>
  <c r="J46" i="81"/>
  <c r="K46" i="81"/>
  <c r="L46" i="81"/>
  <c r="M46" i="81"/>
  <c r="N46" i="81"/>
  <c r="O46" i="81"/>
  <c r="P46" i="81"/>
  <c r="Q46" i="81"/>
  <c r="T46" i="81"/>
  <c r="C46" i="81"/>
  <c r="D38" i="81"/>
  <c r="E38" i="81"/>
  <c r="F38" i="81"/>
  <c r="G38" i="81"/>
  <c r="H38" i="81"/>
  <c r="I38" i="81"/>
  <c r="J38" i="81"/>
  <c r="K38" i="81"/>
  <c r="L38" i="81"/>
  <c r="M38" i="81"/>
  <c r="N38" i="81"/>
  <c r="O38" i="81"/>
  <c r="P38" i="81"/>
  <c r="Q38" i="81"/>
  <c r="T38" i="81"/>
  <c r="C38" i="81"/>
  <c r="C30" i="81"/>
  <c r="D26" i="81"/>
  <c r="F26" i="81"/>
  <c r="G26" i="81"/>
  <c r="H26" i="81"/>
  <c r="I26" i="81"/>
  <c r="J26" i="81"/>
  <c r="K26" i="81"/>
  <c r="L26" i="81"/>
  <c r="M26" i="81"/>
  <c r="N26" i="81"/>
  <c r="O26" i="81"/>
  <c r="P26" i="81"/>
  <c r="Q26" i="81"/>
  <c r="T26" i="81"/>
  <c r="C26" i="81"/>
  <c r="D22" i="81"/>
  <c r="E22" i="81"/>
  <c r="F22" i="81"/>
  <c r="G22" i="81"/>
  <c r="H22" i="81"/>
  <c r="I22" i="81"/>
  <c r="J22" i="81"/>
  <c r="K22" i="81"/>
  <c r="L22" i="81"/>
  <c r="M22" i="81"/>
  <c r="N22" i="81"/>
  <c r="O22" i="81"/>
  <c r="P22" i="81"/>
  <c r="Q22" i="81"/>
  <c r="T22" i="81"/>
  <c r="C22" i="81"/>
  <c r="D18" i="81"/>
  <c r="E18" i="81"/>
  <c r="F18" i="81"/>
  <c r="G18" i="81"/>
  <c r="H18" i="81"/>
  <c r="I18" i="81"/>
  <c r="J18" i="81"/>
  <c r="K18" i="81"/>
  <c r="L18" i="81"/>
  <c r="M18" i="81"/>
  <c r="N18" i="81"/>
  <c r="O18" i="81"/>
  <c r="P18" i="81"/>
  <c r="Q18" i="81"/>
  <c r="T18" i="81"/>
  <c r="C18" i="81"/>
  <c r="D14" i="81"/>
  <c r="E14" i="81"/>
  <c r="F14" i="81"/>
  <c r="G14" i="81"/>
  <c r="H14" i="81"/>
  <c r="I14" i="81"/>
  <c r="J14" i="81"/>
  <c r="K14" i="81"/>
  <c r="L14" i="81"/>
  <c r="M14" i="81"/>
  <c r="N14" i="81"/>
  <c r="O14" i="81"/>
  <c r="Q14" i="81"/>
  <c r="T14" i="81"/>
  <c r="C14" i="81"/>
  <c r="D10" i="81"/>
  <c r="E10" i="81"/>
  <c r="F10" i="81"/>
  <c r="G10" i="81"/>
  <c r="H10" i="81"/>
  <c r="I10" i="81"/>
  <c r="J10" i="81"/>
  <c r="K10" i="81"/>
  <c r="L10" i="81"/>
  <c r="M10" i="81"/>
  <c r="N10" i="81"/>
  <c r="O10" i="81"/>
  <c r="P10" i="81"/>
  <c r="Q10" i="81"/>
  <c r="C10" i="81"/>
  <c r="D6" i="81"/>
  <c r="E6" i="81"/>
  <c r="F6" i="81"/>
  <c r="G6" i="81"/>
  <c r="H6" i="81"/>
  <c r="I6" i="81"/>
  <c r="J6" i="81"/>
  <c r="K6" i="81"/>
  <c r="L6" i="81"/>
  <c r="M6" i="81"/>
  <c r="N6" i="81"/>
  <c r="O6" i="81"/>
  <c r="P6" i="81"/>
  <c r="Q6" i="81"/>
  <c r="C6" i="81"/>
  <c r="T6" i="81" l="1"/>
  <c r="F59" i="81"/>
  <c r="J59" i="81"/>
  <c r="C59" i="81"/>
  <c r="M59" i="81"/>
  <c r="I59" i="81"/>
  <c r="K59" i="81"/>
  <c r="Q59" i="81"/>
  <c r="N59" i="81"/>
  <c r="G59" i="81"/>
  <c r="L59" i="81"/>
  <c r="H59" i="81"/>
  <c r="P59" i="81"/>
  <c r="O59" i="81"/>
  <c r="T10" i="81"/>
  <c r="E59" i="81"/>
  <c r="D59" i="81"/>
  <c r="G9" i="69"/>
  <c r="T59" i="81" l="1"/>
  <c r="G28" i="43"/>
  <c r="G27" i="65" l="1"/>
  <c r="K62" i="78" l="1"/>
  <c r="K60" i="78"/>
  <c r="K59" i="78"/>
  <c r="K58" i="78"/>
  <c r="K57" i="78"/>
  <c r="K56" i="78"/>
  <c r="K55" i="78"/>
  <c r="K54" i="78"/>
  <c r="K53" i="78"/>
  <c r="K52" i="78"/>
  <c r="K51" i="78"/>
  <c r="K50" i="78"/>
  <c r="K49" i="78"/>
  <c r="K48" i="78"/>
  <c r="K47" i="78"/>
  <c r="K46" i="78"/>
  <c r="K45" i="78"/>
  <c r="K44" i="78"/>
  <c r="K43" i="78"/>
  <c r="K42" i="78"/>
  <c r="G30" i="78"/>
  <c r="G29" i="78"/>
  <c r="G28" i="78"/>
  <c r="G26" i="78"/>
  <c r="G25" i="78"/>
  <c r="G24" i="78"/>
  <c r="G15" i="78"/>
  <c r="G14" i="78"/>
  <c r="G13" i="78"/>
  <c r="G12" i="78"/>
  <c r="G11" i="78"/>
  <c r="G10" i="78"/>
  <c r="G9" i="78"/>
  <c r="G31" i="78" l="1"/>
  <c r="K61" i="71"/>
  <c r="K59" i="71"/>
  <c r="K60" i="71"/>
  <c r="K42" i="71"/>
  <c r="K43" i="71"/>
  <c r="K44" i="71"/>
  <c r="K45" i="71"/>
  <c r="K46" i="71"/>
  <c r="K47" i="71"/>
  <c r="K48" i="71"/>
  <c r="K49" i="71"/>
  <c r="K50" i="71"/>
  <c r="K51" i="71"/>
  <c r="K52" i="71"/>
  <c r="K53" i="71"/>
  <c r="K54" i="71"/>
  <c r="K55" i="71"/>
  <c r="K56" i="71"/>
  <c r="K57" i="71"/>
  <c r="K58" i="71"/>
  <c r="K41" i="71"/>
  <c r="K60" i="70"/>
  <c r="K61" i="70"/>
  <c r="K62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41" i="70"/>
  <c r="K61" i="69"/>
  <c r="K62" i="69"/>
  <c r="K63" i="69"/>
  <c r="K44" i="69"/>
  <c r="K45" i="69"/>
  <c r="K46" i="69"/>
  <c r="K47" i="69"/>
  <c r="K48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43" i="69"/>
  <c r="K42" i="68"/>
  <c r="K43" i="68"/>
  <c r="K44" i="68"/>
  <c r="K45" i="68"/>
  <c r="K46" i="68"/>
  <c r="K47" i="68"/>
  <c r="K48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41" i="68"/>
  <c r="K60" i="67"/>
  <c r="K61" i="67"/>
  <c r="K42" i="67"/>
  <c r="K43" i="67"/>
  <c r="K44" i="67"/>
  <c r="K45" i="67"/>
  <c r="K46" i="67"/>
  <c r="K47" i="67"/>
  <c r="K48" i="67"/>
  <c r="K49" i="67"/>
  <c r="K50" i="67"/>
  <c r="K51" i="67"/>
  <c r="K52" i="67"/>
  <c r="K53" i="67"/>
  <c r="K54" i="67"/>
  <c r="K55" i="67"/>
  <c r="K56" i="67"/>
  <c r="K57" i="67"/>
  <c r="K58" i="67"/>
  <c r="K59" i="67"/>
  <c r="K41" i="67"/>
  <c r="K42" i="64"/>
  <c r="K43" i="64"/>
  <c r="K44" i="64"/>
  <c r="K45" i="64"/>
  <c r="K46" i="64"/>
  <c r="K47" i="64"/>
  <c r="K48" i="64"/>
  <c r="K49" i="64"/>
  <c r="K50" i="64"/>
  <c r="K51" i="64"/>
  <c r="K52" i="64"/>
  <c r="K53" i="64"/>
  <c r="K54" i="64"/>
  <c r="K55" i="64"/>
  <c r="K56" i="64"/>
  <c r="K57" i="64"/>
  <c r="K58" i="64"/>
  <c r="K59" i="64"/>
  <c r="K60" i="64"/>
  <c r="K61" i="64"/>
  <c r="K41" i="64"/>
  <c r="K61" i="66"/>
  <c r="K59" i="66"/>
  <c r="K60" i="66"/>
  <c r="K42" i="66"/>
  <c r="K43" i="66"/>
  <c r="K44" i="66"/>
  <c r="K45" i="66"/>
  <c r="K46" i="66"/>
  <c r="K47" i="66"/>
  <c r="K48" i="66"/>
  <c r="K49" i="66"/>
  <c r="K50" i="66"/>
  <c r="K51" i="66"/>
  <c r="K52" i="66"/>
  <c r="K53" i="66"/>
  <c r="K54" i="66"/>
  <c r="K55" i="66"/>
  <c r="K56" i="66"/>
  <c r="K57" i="66"/>
  <c r="K58" i="66"/>
  <c r="K41" i="66"/>
  <c r="K61" i="65"/>
  <c r="K59" i="65"/>
  <c r="K60" i="65"/>
  <c r="K42" i="65"/>
  <c r="K43" i="65"/>
  <c r="K44" i="65"/>
  <c r="K45" i="65"/>
  <c r="K46" i="65"/>
  <c r="K47" i="65"/>
  <c r="K48" i="65"/>
  <c r="K49" i="65"/>
  <c r="K50" i="65"/>
  <c r="K51" i="65"/>
  <c r="K52" i="65"/>
  <c r="K53" i="65"/>
  <c r="K54" i="65"/>
  <c r="K55" i="65"/>
  <c r="K56" i="65"/>
  <c r="K57" i="65"/>
  <c r="K58" i="65"/>
  <c r="K41" i="65"/>
  <c r="K60" i="62"/>
  <c r="K61" i="62"/>
  <c r="K42" i="62"/>
  <c r="K43" i="62"/>
  <c r="K44" i="62"/>
  <c r="K45" i="62"/>
  <c r="K46" i="62"/>
  <c r="K47" i="62"/>
  <c r="K48" i="62"/>
  <c r="K49" i="62"/>
  <c r="K50" i="62"/>
  <c r="K51" i="62"/>
  <c r="K52" i="62"/>
  <c r="K53" i="62"/>
  <c r="K54" i="62"/>
  <c r="K55" i="62"/>
  <c r="K56" i="62"/>
  <c r="K57" i="62"/>
  <c r="K58" i="62"/>
  <c r="K59" i="62"/>
  <c r="K41" i="62"/>
  <c r="K60" i="61"/>
  <c r="K61" i="61"/>
  <c r="K42" i="61"/>
  <c r="K43" i="61"/>
  <c r="K44" i="61"/>
  <c r="K45" i="61"/>
  <c r="K46" i="61"/>
  <c r="K47" i="61"/>
  <c r="K48" i="61"/>
  <c r="K49" i="61"/>
  <c r="K50" i="61"/>
  <c r="K51" i="61"/>
  <c r="K52" i="61"/>
  <c r="K53" i="61"/>
  <c r="K54" i="61"/>
  <c r="K55" i="61"/>
  <c r="K56" i="61"/>
  <c r="K57" i="61"/>
  <c r="K58" i="61"/>
  <c r="K59" i="61"/>
  <c r="K41" i="61"/>
  <c r="K60" i="60"/>
  <c r="K61" i="60"/>
  <c r="K42" i="60"/>
  <c r="K43" i="60"/>
  <c r="K44" i="60"/>
  <c r="K45" i="60"/>
  <c r="K46" i="60"/>
  <c r="K47" i="60"/>
  <c r="K48" i="60"/>
  <c r="K49" i="60"/>
  <c r="K50" i="60"/>
  <c r="K51" i="60"/>
  <c r="K52" i="60"/>
  <c r="K53" i="60"/>
  <c r="K54" i="60"/>
  <c r="K55" i="60"/>
  <c r="K56" i="60"/>
  <c r="K57" i="60"/>
  <c r="K58" i="60"/>
  <c r="K59" i="60"/>
  <c r="K41" i="60"/>
  <c r="K60" i="59"/>
  <c r="K61" i="59"/>
  <c r="K42" i="59"/>
  <c r="K43" i="59"/>
  <c r="K44" i="59"/>
  <c r="K45" i="59"/>
  <c r="K46" i="59"/>
  <c r="K47" i="59"/>
  <c r="K48" i="59"/>
  <c r="K49" i="59"/>
  <c r="K50" i="59"/>
  <c r="K51" i="59"/>
  <c r="K52" i="59"/>
  <c r="K53" i="59"/>
  <c r="K54" i="59"/>
  <c r="K55" i="59"/>
  <c r="K56" i="59"/>
  <c r="K57" i="59"/>
  <c r="K58" i="59"/>
  <c r="K59" i="59"/>
  <c r="K41" i="59"/>
  <c r="K59" i="58"/>
  <c r="K60" i="58"/>
  <c r="K60" i="43"/>
  <c r="G29" i="71" l="1"/>
  <c r="G29" i="70"/>
  <c r="G31" i="69"/>
  <c r="G29" i="68"/>
  <c r="G29" i="67"/>
  <c r="G29" i="64"/>
  <c r="G29" i="66"/>
  <c r="G29" i="65"/>
  <c r="G29" i="62"/>
  <c r="G29" i="61"/>
  <c r="G29" i="60"/>
  <c r="G29" i="59"/>
  <c r="G29" i="58"/>
  <c r="G28" i="71" l="1"/>
  <c r="G27" i="71"/>
  <c r="G25" i="71"/>
  <c r="G24" i="71"/>
  <c r="G23" i="71"/>
  <c r="G15" i="71"/>
  <c r="G14" i="71"/>
  <c r="G13" i="71"/>
  <c r="G12" i="71"/>
  <c r="G11" i="71"/>
  <c r="G10" i="71"/>
  <c r="G9" i="71"/>
  <c r="G28" i="70"/>
  <c r="G27" i="70"/>
  <c r="G25" i="70"/>
  <c r="G24" i="70"/>
  <c r="G23" i="70"/>
  <c r="G15" i="70"/>
  <c r="G14" i="70"/>
  <c r="G13" i="70"/>
  <c r="G12" i="70"/>
  <c r="G11" i="70"/>
  <c r="G10" i="70"/>
  <c r="G9" i="70"/>
  <c r="G30" i="69"/>
  <c r="G29" i="69"/>
  <c r="G27" i="69"/>
  <c r="G26" i="69"/>
  <c r="G25" i="69"/>
  <c r="G15" i="69"/>
  <c r="G14" i="69"/>
  <c r="G13" i="69"/>
  <c r="G12" i="69"/>
  <c r="G11" i="69"/>
  <c r="G10" i="69"/>
  <c r="G28" i="68"/>
  <c r="G27" i="68"/>
  <c r="G25" i="68"/>
  <c r="G24" i="68"/>
  <c r="G23" i="68"/>
  <c r="G15" i="68"/>
  <c r="G14" i="68"/>
  <c r="G13" i="68"/>
  <c r="G12" i="68"/>
  <c r="G11" i="68"/>
  <c r="G10" i="68"/>
  <c r="G9" i="68"/>
  <c r="G28" i="67"/>
  <c r="G27" i="67"/>
  <c r="G25" i="67"/>
  <c r="G24" i="67"/>
  <c r="G23" i="67"/>
  <c r="G15" i="67"/>
  <c r="G14" i="67"/>
  <c r="G13" i="67"/>
  <c r="G12" i="67"/>
  <c r="G11" i="67"/>
  <c r="G10" i="67"/>
  <c r="G9" i="67"/>
  <c r="G28" i="64"/>
  <c r="G27" i="64"/>
  <c r="G25" i="64"/>
  <c r="G24" i="64"/>
  <c r="G23" i="64"/>
  <c r="G15" i="64"/>
  <c r="G14" i="64"/>
  <c r="G13" i="64"/>
  <c r="G12" i="64"/>
  <c r="G11" i="64"/>
  <c r="G10" i="64"/>
  <c r="G9" i="64"/>
  <c r="G28" i="66"/>
  <c r="G25" i="66"/>
  <c r="G24" i="66"/>
  <c r="G23" i="66"/>
  <c r="G15" i="66"/>
  <c r="G14" i="66"/>
  <c r="G13" i="66"/>
  <c r="G12" i="66"/>
  <c r="G11" i="66"/>
  <c r="G10" i="66"/>
  <c r="G9" i="66"/>
  <c r="G28" i="65"/>
  <c r="G25" i="65"/>
  <c r="G24" i="65"/>
  <c r="G23" i="65"/>
  <c r="G15" i="65"/>
  <c r="G14" i="65"/>
  <c r="G13" i="65"/>
  <c r="G12" i="65"/>
  <c r="G11" i="65"/>
  <c r="G10" i="65"/>
  <c r="G9" i="65"/>
  <c r="G28" i="62"/>
  <c r="G27" i="62"/>
  <c r="G25" i="62"/>
  <c r="G24" i="62"/>
  <c r="G23" i="62"/>
  <c r="G15" i="62"/>
  <c r="G14" i="62"/>
  <c r="G13" i="62"/>
  <c r="G12" i="62"/>
  <c r="G11" i="62"/>
  <c r="G10" i="62"/>
  <c r="G9" i="62"/>
  <c r="G28" i="61"/>
  <c r="G27" i="61"/>
  <c r="G25" i="61"/>
  <c r="G24" i="61"/>
  <c r="G23" i="61"/>
  <c r="G15" i="61"/>
  <c r="G14" i="61"/>
  <c r="G13" i="61"/>
  <c r="G12" i="61"/>
  <c r="G11" i="61"/>
  <c r="G10" i="61"/>
  <c r="G9" i="61"/>
  <c r="G28" i="60"/>
  <c r="G27" i="60"/>
  <c r="G25" i="60"/>
  <c r="G24" i="60"/>
  <c r="G23" i="60"/>
  <c r="G15" i="60"/>
  <c r="G14" i="60"/>
  <c r="G13" i="60"/>
  <c r="G12" i="60"/>
  <c r="G11" i="60"/>
  <c r="G10" i="60"/>
  <c r="G9" i="60"/>
  <c r="G28" i="59"/>
  <c r="G24" i="59"/>
  <c r="G23" i="59"/>
  <c r="G15" i="59"/>
  <c r="G14" i="59"/>
  <c r="G13" i="59"/>
  <c r="G12" i="59"/>
  <c r="G11" i="59"/>
  <c r="G10" i="59"/>
  <c r="G9" i="59"/>
  <c r="G27" i="43"/>
  <c r="G25" i="43"/>
  <c r="G24" i="43"/>
  <c r="G23" i="43"/>
  <c r="G15" i="43"/>
  <c r="G14" i="43"/>
  <c r="G13" i="43"/>
  <c r="G12" i="43"/>
  <c r="G11" i="43"/>
  <c r="G10" i="43"/>
  <c r="G9" i="43"/>
  <c r="G28" i="58"/>
  <c r="G27" i="58"/>
  <c r="G25" i="58"/>
  <c r="G24" i="58"/>
  <c r="G23" i="58"/>
  <c r="G15" i="58"/>
  <c r="G14" i="58"/>
  <c r="G13" i="58"/>
  <c r="G12" i="58"/>
  <c r="G11" i="58"/>
  <c r="G10" i="58"/>
  <c r="G9" i="58"/>
  <c r="G30" i="43" l="1"/>
  <c r="G30" i="58"/>
  <c r="G30" i="61"/>
  <c r="G30" i="67"/>
  <c r="G30" i="65"/>
  <c r="G30" i="60"/>
  <c r="G30" i="59"/>
  <c r="G30" i="71"/>
  <c r="G30" i="70"/>
  <c r="G32" i="69"/>
  <c r="G30" i="68"/>
  <c r="G30" i="64"/>
  <c r="G30" i="66"/>
  <c r="G30" i="62"/>
</calcChain>
</file>

<file path=xl/sharedStrings.xml><?xml version="1.0" encoding="utf-8"?>
<sst xmlns="http://schemas.openxmlformats.org/spreadsheetml/2006/main" count="1955" uniqueCount="148">
  <si>
    <t>FECHA:</t>
  </si>
  <si>
    <t>Nº</t>
  </si>
  <si>
    <t>LA CASA DE LA CAÑA, C.A. (T. ALTERNA)</t>
  </si>
  <si>
    <t>LA CASA DE LA CAÑA, C.A. (T. NVA. BARCELONA)</t>
  </si>
  <si>
    <t>OPERADORA EL MERCADO 2011, C.A. (T. MERCADO)</t>
  </si>
  <si>
    <t>OPERADORA PUERTO LA CRUZ 2011, C.A. (T. PUERTO LA CRUZ)</t>
  </si>
  <si>
    <t>RELIVE, C.A. (T. TERRAZAS)</t>
  </si>
  <si>
    <t>RELIVE, C.A. (T. TIGRE III)</t>
  </si>
  <si>
    <t>ESCANER DE CODIGO DE BARRAS</t>
  </si>
  <si>
    <t>EQUIPOS</t>
  </si>
  <si>
    <t>TIENDAS</t>
  </si>
  <si>
    <t>LA CASA DE LA CAÑA, C.A. (T. MATURIN II)</t>
  </si>
  <si>
    <t>LA CASA DE LA CAÑA, C.A. (T. CUMANA)</t>
  </si>
  <si>
    <t>RELIVE, C.A. (T. CHUPARIN)</t>
  </si>
  <si>
    <t>CHECK LIST DE EXISTENCIA DE EQUIPOS EN TIENDAS</t>
  </si>
  <si>
    <t>HOUSE TICKET</t>
  </si>
  <si>
    <t>SI</t>
  </si>
  <si>
    <t>NO</t>
  </si>
  <si>
    <t>SUICHE</t>
  </si>
  <si>
    <t>ROUTER</t>
  </si>
  <si>
    <t>REGULADORES</t>
  </si>
  <si>
    <t>EFECTIVIDAD</t>
  </si>
  <si>
    <t>IMPRESORAS FISCALES</t>
  </si>
  <si>
    <t>Código:</t>
  </si>
  <si>
    <t>Revisión:</t>
  </si>
  <si>
    <t>Fecha:</t>
  </si>
  <si>
    <t>MOUSE</t>
  </si>
  <si>
    <t>CPU</t>
  </si>
  <si>
    <t>MONITORES</t>
  </si>
  <si>
    <t>TECLADOS</t>
  </si>
  <si>
    <t>SUCURSAL:</t>
  </si>
  <si>
    <t>OBSERVACIONES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</si>
  <si>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</si>
  <si>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</si>
  <si>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</si>
  <si>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</si>
  <si>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</si>
  <si>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</si>
  <si>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</si>
  <si>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</si>
  <si>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</si>
  <si>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</si>
  <si>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</si>
  <si>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</si>
  <si>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</si>
  <si>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LA CASA DE LA CAÑA, C.A. (T. MATURIN I)</t>
  </si>
  <si>
    <t>LA CASA DE LA CAÑA, C.A. (T. ANACO)</t>
  </si>
  <si>
    <t>FO-MIS-03</t>
  </si>
  <si>
    <t>INVENTARIO REAL</t>
  </si>
  <si>
    <t>EQUIPOS OPERATIVOS</t>
  </si>
  <si>
    <t>INVENTARIO IDEAL</t>
  </si>
  <si>
    <t>CABLEADO</t>
  </si>
  <si>
    <t>INVENTARIO</t>
  </si>
  <si>
    <t>IMPRESORA MULTIFUNCIONAL</t>
  </si>
  <si>
    <t>MODEM</t>
  </si>
  <si>
    <t>TOTAL  DE EFECTIVIDAD DE EQUIPOS</t>
  </si>
  <si>
    <t>NOTA: El check list de Existencia de Equipos en Tiendas debe ser enviado entre los 5 primeros días del mes, vía correo electrónico al grupo Sistemas, con copia al Director de Servicios de Control.</t>
  </si>
  <si>
    <t>Realizado Por:</t>
  </si>
  <si>
    <t>DVR</t>
  </si>
  <si>
    <t>Cargo</t>
  </si>
  <si>
    <t>Nº ULT. REPORTE Z:</t>
  </si>
  <si>
    <t>SERIAL 1:</t>
  </si>
  <si>
    <t>SERIAL 2:</t>
  </si>
  <si>
    <t>SERIAL 3:</t>
  </si>
  <si>
    <t>SERIAL 4:</t>
  </si>
  <si>
    <t>SERIAL 5:</t>
  </si>
  <si>
    <t>SERIAL 6:</t>
  </si>
  <si>
    <t>SERIAL 7:</t>
  </si>
  <si>
    <t>LIBROS DE IMPRESORAS FISCALES</t>
  </si>
  <si>
    <t>LA CASA DE LA CAÑA, C.A. (T. CUMANÁ)</t>
  </si>
  <si>
    <t>LA CASA DE LA CAÑA, C.A. (T. MATURÍN I)</t>
  </si>
  <si>
    <t>LA CASA DE LA CAÑA, C.A. (T. MATURÍN II)</t>
  </si>
  <si>
    <t>OPERADORA EL PUENTE 2011, C.A. (T. PUENTE REAL)</t>
  </si>
  <si>
    <t>OPERADORA LECHERÍA 2011, C.A. (T. LECHERÍA)</t>
  </si>
  <si>
    <t>OPERADORA PUERTO ORDAZ 2013, C.A.(T. PUERTO ORDAZ)</t>
  </si>
  <si>
    <t>RELIVE, C.A. (T. CHUPARÍN)</t>
  </si>
  <si>
    <t>RELIVE, C.A. (T. TIGRE II)</t>
  </si>
  <si>
    <t>******SUCURSALES</t>
  </si>
  <si>
    <t>INVERSIONES CAÑANDONGA,C.A (T. CONEJERO)</t>
  </si>
  <si>
    <t>OPERADORA LAS AMERICAS, C.A</t>
  </si>
  <si>
    <t>OPERADORA PLAZA DEL SOL 2015, C.A</t>
  </si>
  <si>
    <t>07</t>
  </si>
  <si>
    <t>SERIAL 9:</t>
  </si>
  <si>
    <t>SERIAL 8:</t>
  </si>
  <si>
    <t>TOTAL</t>
  </si>
  <si>
    <t>Inv. Ideal</t>
  </si>
  <si>
    <t>Inv. Real</t>
  </si>
  <si>
    <t>Equi. Ope.</t>
  </si>
  <si>
    <t>Efect.</t>
  </si>
  <si>
    <t>DVR´S</t>
  </si>
  <si>
    <t>% Efectividad en Equipos</t>
  </si>
  <si>
    <t>PUNTOS DE VENTAS</t>
  </si>
  <si>
    <t>LA CASA DE LA CAÑA, C.A. (T. NVA BARCELONA)</t>
  </si>
  <si>
    <t>LA CASA DE LA CAÑA, C.A. (T. FREITES)</t>
  </si>
  <si>
    <t>LA CASA DE LA CAÑA, C.A. (T. PUENTE)</t>
  </si>
  <si>
    <t>RELIVE, C.A. (T. PLC)</t>
  </si>
  <si>
    <t>RELIVE, C.A. (T. POZUELOS)</t>
  </si>
  <si>
    <t>OPERADORA VENECIA 2021, C.A (T. VENECIA)</t>
  </si>
  <si>
    <t>OPERADORA VENECIA 2021, C.A (T. BOLIVAR PLC)</t>
  </si>
  <si>
    <t>OPERADORA VENECIA 2021, C.A (T. CHURCHILL)</t>
  </si>
  <si>
    <t>OPERADORA VENECIA 2021, C.A (T. MANSION)</t>
  </si>
  <si>
    <t>OPERADORA LECHERIA 2011, C.A</t>
  </si>
  <si>
    <t>VISOR DE VENTAS</t>
  </si>
  <si>
    <t>VISOR DE VENTA</t>
  </si>
  <si>
    <t>TOTAL DE EFECTIVIDAD DE EQUIPOS</t>
  </si>
  <si>
    <t>Victor Garcia</t>
  </si>
  <si>
    <t>LIDER TIENDA</t>
  </si>
  <si>
    <t>}</t>
  </si>
  <si>
    <t>Una Reparacion no imprime bien</t>
  </si>
  <si>
    <t>Operadora Lecheria 2025, C.A San Bernandino</t>
  </si>
  <si>
    <t>Operadora Lecheria 2025, C.A Drop Shop El Paraiso</t>
  </si>
  <si>
    <t>Operadora Lecheria 2025, C.A El Paraiso</t>
  </si>
  <si>
    <t>Operadora Lecheria 2025, C.A Presidente Medina</t>
  </si>
  <si>
    <t>Operadora Lecheria 2025, C.A Los Flores</t>
  </si>
  <si>
    <t>Operadora Lecheria 2025, C.A San Antonio</t>
  </si>
  <si>
    <t>Operadora Lecheria 2025, C.A CCCT</t>
  </si>
  <si>
    <t>Operadora Lecheria 2025, C.A Guarenas Centro</t>
  </si>
  <si>
    <t>Operadora Lecheria 2025, C.A Guarenas 27 De Febrero</t>
  </si>
  <si>
    <t>Operadora Lecheria 2025, C.A Guatire Las Rosas</t>
  </si>
  <si>
    <t>Operadora Lecheria 2025, C.A Guatire Centro</t>
  </si>
  <si>
    <t>Operadora Lecheria 2025, C.A Guatire El Palmar</t>
  </si>
  <si>
    <t>Operadora Lecheria 2025, C.A Caucagua</t>
  </si>
  <si>
    <t>Operadora Lecheria 2025, C.A Higuerote</t>
  </si>
  <si>
    <t>Operadora Lecheria 2025, C.A Las Mercedes</t>
  </si>
  <si>
    <t>Operadora Lecheria 2025, C.A San Martin</t>
  </si>
  <si>
    <t>Operadora Lecheria 2025, C.A Baruta</t>
  </si>
  <si>
    <t>Operadora Lecheria 2025, C.A Nuevo Circo</t>
  </si>
  <si>
    <t>Operadora Lecheria 2025, C.A El Silencio</t>
  </si>
  <si>
    <t>Operadora Lecheria 2025, C.A Drop Shop Castellana</t>
  </si>
  <si>
    <t>BERNARDINO</t>
  </si>
  <si>
    <t>DSPARAISO</t>
  </si>
  <si>
    <t>PARAISO</t>
  </si>
  <si>
    <t>PRESIDENTE</t>
  </si>
  <si>
    <t>FLORES</t>
  </si>
  <si>
    <t>ANTONIO</t>
  </si>
  <si>
    <t>CCCT</t>
  </si>
  <si>
    <t>GUARENAS C</t>
  </si>
  <si>
    <t>GUARENAS 27</t>
  </si>
  <si>
    <t>GUATIRE C</t>
  </si>
  <si>
    <t>GUATIRE P</t>
  </si>
  <si>
    <t>GUATIRE R</t>
  </si>
  <si>
    <t>CAUCAGUA</t>
  </si>
  <si>
    <t>HIGUEROTE</t>
  </si>
  <si>
    <t>S MARTIN</t>
  </si>
  <si>
    <t>NUEVO C</t>
  </si>
  <si>
    <t>DSCASTELLANA</t>
  </si>
  <si>
    <t>David Tayupo</t>
  </si>
  <si>
    <t>Lider De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</si>
</sst>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ahoma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10" fillId="0" borderId="0"/>
    <xf numFmtId="0" fontId="8" fillId="0" borderId="0"/>
  </cellStyleXfs>
  <cellXfs count="211">
    <xf numFmtId="0" fontId="0" fillId="0" borderId="0" xfId="0"/>
    <xf numFmtId="0" fontId="0" fillId="0" borderId="0" xfId="0"/>
    <xf numFmtId="0" fontId="0" fillId="0" borderId="0" xfId="0" applyProtection="1"/>
    <xf numFmtId="0" fontId="0" fillId="0" borderId="0" xfId="0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 applyProtection="1">
      <alignment horizont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/>
    </xf>
    <xf numFmtId="0" fontId="1" fillId="2" borderId="8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/>
      <protection locked="0"/>
    </xf>
    <xf numFmtId="14" fontId="0" fillId="0" borderId="0" xfId="0" applyNumberFormat="1" applyBorder="1" applyAlignment="1" applyProtection="1">
      <alignment horizontal="center"/>
    </xf>
    <xf numFmtId="0" fontId="1" fillId="0" borderId="0" xfId="0" applyFont="1" applyBorder="1" applyAlignment="1" applyProtection="1">
      <alignment vertical="center" wrapText="1"/>
    </xf>
    <xf numFmtId="0" fontId="1" fillId="0" borderId="0" xfId="0" applyFont="1" applyAlignment="1" applyProtection="1">
      <alignment horizontal="right"/>
    </xf>
    <xf numFmtId="0" fontId="1" fillId="2" borderId="1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 wrapText="1"/>
    </xf>
    <xf numFmtId="0" fontId="1" fillId="0" borderId="0" xfId="0" applyFont="1" applyBorder="1" applyAlignment="1" applyProtection="1">
      <alignment horizontal="left"/>
    </xf>
    <xf numFmtId="14" fontId="0" fillId="0" borderId="0" xfId="0" applyNumberFormat="1" applyBorder="1" applyAlignment="1" applyProtection="1"/>
    <xf numFmtId="0" fontId="1" fillId="2" borderId="12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wrapText="1"/>
    </xf>
    <xf numFmtId="9" fontId="0" fillId="0" borderId="1" xfId="1" applyFont="1" applyBorder="1" applyAlignment="1" applyProtection="1">
      <alignment horizontal="center" vertical="center" wrapText="1"/>
    </xf>
    <xf numFmtId="0" fontId="0" fillId="0" borderId="0" xfId="0" applyFill="1" applyProtection="1"/>
    <xf numFmtId="0" fontId="0" fillId="0" borderId="0" xfId="0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Protection="1"/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right" wrapText="1"/>
    </xf>
    <xf numFmtId="49" fontId="7" fillId="0" borderId="1" xfId="0" applyNumberFormat="1" applyFont="1" applyBorder="1" applyAlignment="1" applyProtection="1">
      <alignment horizontal="center" wrapText="1"/>
    </xf>
    <xf numFmtId="0" fontId="5" fillId="0" borderId="0" xfId="0" applyFont="1" applyBorder="1" applyAlignment="1" applyProtection="1">
      <alignment horizontal="right" wrapText="1"/>
    </xf>
    <xf numFmtId="14" fontId="4" fillId="0" borderId="0" xfId="0" applyNumberFormat="1" applyFont="1" applyBorder="1" applyAlignment="1" applyProtection="1">
      <alignment horizontal="center" wrapText="1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top" wrapText="1"/>
    </xf>
    <xf numFmtId="0" fontId="0" fillId="0" borderId="0" xfId="0" applyFill="1" applyBorder="1" applyAlignment="1" applyProtection="1">
      <alignment horizontal="center" vertical="center" wrapText="1"/>
    </xf>
    <xf numFmtId="0" fontId="1" fillId="0" borderId="0" xfId="0" applyFont="1" applyFill="1" applyBorder="1" applyAlignment="1" applyProtection="1">
      <alignment vertical="top" wrapText="1"/>
    </xf>
    <xf numFmtId="0" fontId="1" fillId="0" borderId="0" xfId="0" applyFont="1" applyFill="1" applyBorder="1" applyAlignment="1" applyProtection="1">
      <alignment wrapText="1"/>
    </xf>
    <xf numFmtId="0" fontId="0" fillId="0" borderId="0" xfId="0" applyFill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0" xfId="0" applyBorder="1" applyAlignment="1">
      <alignment vertical="center"/>
    </xf>
    <xf numFmtId="0" fontId="3" fillId="6" borderId="1" xfId="0" applyFont="1" applyFill="1" applyBorder="1" applyProtection="1"/>
    <xf numFmtId="9" fontId="0" fillId="0" borderId="7" xfId="1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 wrapText="1"/>
    </xf>
    <xf numFmtId="14" fontId="7" fillId="0" borderId="1" xfId="0" applyNumberFormat="1" applyFont="1" applyBorder="1" applyAlignment="1" applyProtection="1">
      <alignment horizont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0" fillId="4" borderId="8" xfId="0" applyFont="1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4" borderId="1" xfId="0" applyFont="1" applyFill="1" applyBorder="1" applyAlignment="1">
      <alignment horizontal="left"/>
    </xf>
    <xf numFmtId="0" fontId="10" fillId="4" borderId="1" xfId="2" applyFont="1" applyFill="1" applyBorder="1" applyAlignment="1"/>
    <xf numFmtId="0" fontId="10" fillId="4" borderId="1" xfId="0" applyFont="1" applyFill="1" applyBorder="1" applyAlignment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0" fillId="4" borderId="1" xfId="2" applyFont="1" applyFill="1" applyBorder="1"/>
    <xf numFmtId="0" fontId="10" fillId="4" borderId="1" xfId="2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8" fillId="0" borderId="1" xfId="3" applyBorder="1" applyAlignment="1" applyProtection="1">
      <alignment horizontal="left"/>
      <protection locked="0"/>
    </xf>
    <xf numFmtId="0" fontId="11" fillId="4" borderId="1" xfId="0" applyFont="1" applyFill="1" applyBorder="1" applyAlignment="1">
      <alignment horizontal="left"/>
    </xf>
    <xf numFmtId="0" fontId="10" fillId="0" borderId="1" xfId="2" applyFont="1" applyBorder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horizontal="left"/>
    </xf>
    <xf numFmtId="0" fontId="10" fillId="0" borderId="1" xfId="2" applyFont="1" applyBorder="1" applyAlignment="1">
      <alignment horizontal="center"/>
    </xf>
    <xf numFmtId="0" fontId="10" fillId="4" borderId="1" xfId="2" applyFont="1" applyFill="1" applyBorder="1" applyAlignment="1">
      <alignment horizontal="center"/>
    </xf>
    <xf numFmtId="0" fontId="0" fillId="0" borderId="7" xfId="0" applyBorder="1" applyAlignment="1" applyProtection="1">
      <alignment horizontal="center" vertical="center" wrapText="1"/>
    </xf>
    <xf numFmtId="0" fontId="0" fillId="0" borderId="0" xfId="0"/>
    <xf numFmtId="0" fontId="12" fillId="7" borderId="20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 vertical="center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14" fillId="0" borderId="0" xfId="0" applyFont="1" applyProtection="1"/>
    <xf numFmtId="0" fontId="0" fillId="0" borderId="1" xfId="0" applyFill="1" applyBorder="1" applyAlignment="1" applyProtection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2" fillId="10" borderId="20" xfId="0" applyFont="1" applyFill="1" applyBorder="1" applyAlignment="1">
      <alignment horizontal="center"/>
    </xf>
    <xf numFmtId="9" fontId="12" fillId="9" borderId="20" xfId="1" applyFont="1" applyFill="1" applyBorder="1" applyAlignment="1">
      <alignment horizontal="center" vertical="center"/>
    </xf>
    <xf numFmtId="9" fontId="12" fillId="10" borderId="20" xfId="1" applyFont="1" applyFill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9" fontId="15" fillId="10" borderId="20" xfId="1" applyFont="1" applyFill="1" applyBorder="1" applyAlignment="1">
      <alignment horizontal="center" vertical="center"/>
    </xf>
    <xf numFmtId="0" fontId="12" fillId="10" borderId="20" xfId="0" applyNumberFormat="1" applyFont="1" applyFill="1" applyBorder="1" applyAlignment="1">
      <alignment horizontal="center"/>
    </xf>
    <xf numFmtId="0" fontId="12" fillId="10" borderId="20" xfId="0" applyNumberFormat="1" applyFont="1" applyFill="1" applyBorder="1" applyAlignment="1">
      <alignment horizontal="center" vertical="center"/>
    </xf>
    <xf numFmtId="9" fontId="12" fillId="8" borderId="20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 applyProtection="1">
      <alignment horizontal="left" vertical="center" wrapText="1"/>
    </xf>
    <xf numFmtId="0" fontId="12" fillId="9" borderId="20" xfId="0" applyFont="1" applyFill="1" applyBorder="1" applyAlignment="1" applyProtection="1">
      <alignment horizontal="right" vertical="center" wrapText="1"/>
    </xf>
    <xf numFmtId="9" fontId="0" fillId="0" borderId="7" xfId="1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/>
    </xf>
    <xf numFmtId="0" fontId="16" fillId="0" borderId="0" xfId="0" applyFont="1"/>
    <xf numFmtId="0" fontId="0" fillId="0" borderId="2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center"/>
    </xf>
    <xf numFmtId="0" fontId="1" fillId="5" borderId="2" xfId="0" applyFont="1" applyFill="1" applyBorder="1" applyAlignment="1" applyProtection="1">
      <alignment horizontal="center" vertical="center"/>
    </xf>
    <xf numFmtId="0" fontId="1" fillId="5" borderId="3" xfId="0" applyFont="1" applyFill="1" applyBorder="1" applyAlignment="1" applyProtection="1">
      <alignment horizontal="center" vertical="center"/>
    </xf>
    <xf numFmtId="0" fontId="1" fillId="5" borderId="4" xfId="0" applyFont="1" applyFill="1" applyBorder="1" applyAlignment="1" applyProtection="1">
      <alignment horizontal="center" vertical="center"/>
    </xf>
    <xf numFmtId="10" fontId="1" fillId="5" borderId="2" xfId="0" applyNumberFormat="1" applyFont="1" applyFill="1" applyBorder="1" applyAlignment="1" applyProtection="1">
      <alignment horizontal="center" vertical="center"/>
    </xf>
    <xf numFmtId="10" fontId="1" fillId="5" borderId="3" xfId="0" applyNumberFormat="1" applyFont="1" applyFill="1" applyBorder="1" applyAlignment="1" applyProtection="1">
      <alignment horizontal="center" vertical="center"/>
    </xf>
    <xf numFmtId="10" fontId="1" fillId="5" borderId="4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 vertical="center" wrapText="1"/>
    </xf>
    <xf numFmtId="0" fontId="0" fillId="5" borderId="16" xfId="0" applyFill="1" applyBorder="1" applyAlignment="1" applyProtection="1">
      <alignment horizontal="center" vertical="center" wrapText="1"/>
    </xf>
    <xf numFmtId="0" fontId="0" fillId="5" borderId="6" xfId="0" applyFill="1" applyBorder="1" applyAlignment="1" applyProtection="1">
      <alignment horizontal="center" vertical="center" wrapText="1"/>
    </xf>
    <xf numFmtId="0" fontId="0" fillId="5" borderId="11" xfId="0" applyFill="1" applyBorder="1" applyAlignment="1" applyProtection="1">
      <alignment horizontal="center" vertical="center" wrapText="1"/>
    </xf>
    <xf numFmtId="0" fontId="0" fillId="5" borderId="18" xfId="0" applyFill="1" applyBorder="1" applyAlignment="1" applyProtection="1">
      <alignment horizontal="center" vertical="center" wrapText="1"/>
    </xf>
    <xf numFmtId="0" fontId="0" fillId="5" borderId="12" xfId="0" applyFill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0" fontId="9" fillId="0" borderId="11" xfId="0" applyFont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</xf>
    <xf numFmtId="0" fontId="1" fillId="0" borderId="12" xfId="0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vertical="center" wrapText="1"/>
    </xf>
    <xf numFmtId="0" fontId="0" fillId="0" borderId="4" xfId="0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/>
    </xf>
    <xf numFmtId="0" fontId="1" fillId="2" borderId="8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 wrapText="1"/>
    </xf>
    <xf numFmtId="14" fontId="0" fillId="0" borderId="18" xfId="0" applyNumberForma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 wrapText="1"/>
    </xf>
    <xf numFmtId="0" fontId="7" fillId="0" borderId="6" xfId="0" applyFont="1" applyBorder="1" applyAlignment="1" applyProtection="1">
      <alignment horizontal="center" wrapText="1"/>
    </xf>
    <xf numFmtId="14" fontId="7" fillId="0" borderId="2" xfId="0" applyNumberFormat="1" applyFont="1" applyBorder="1" applyAlignment="1" applyProtection="1">
      <alignment horizontal="center" wrapText="1"/>
    </xf>
    <xf numFmtId="14" fontId="7" fillId="0" borderId="4" xfId="0" applyNumberFormat="1" applyFont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2" borderId="11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vertical="center" wrapText="1"/>
    </xf>
    <xf numFmtId="0" fontId="0" fillId="0" borderId="4" xfId="0" applyBorder="1" applyAlignment="1" applyProtection="1">
      <alignment vertical="center" wrapText="1"/>
    </xf>
    <xf numFmtId="9" fontId="0" fillId="0" borderId="7" xfId="1" applyFont="1" applyBorder="1" applyAlignment="1" applyProtection="1">
      <alignment horizontal="center" vertical="center" wrapText="1"/>
    </xf>
    <xf numFmtId="9" fontId="0" fillId="0" borderId="14" xfId="1" applyFont="1" applyBorder="1" applyAlignment="1" applyProtection="1">
      <alignment horizontal="center" vertical="center" wrapText="1"/>
    </xf>
    <xf numFmtId="9" fontId="0" fillId="0" borderId="8" xfId="1" applyFont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4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 vertical="center" wrapText="1"/>
    </xf>
    <xf numFmtId="0" fontId="0" fillId="0" borderId="6" xfId="0" applyBorder="1" applyAlignment="1" applyProtection="1">
      <alignment horizontal="left" vertical="center" wrapText="1"/>
    </xf>
    <xf numFmtId="0" fontId="0" fillId="0" borderId="17" xfId="0" applyBorder="1" applyAlignment="1" applyProtection="1">
      <alignment horizontal="left" vertical="center" wrapText="1"/>
    </xf>
    <xf numFmtId="0" fontId="0" fillId="0" borderId="15" xfId="0" applyBorder="1" applyAlignment="1" applyProtection="1">
      <alignment horizontal="left" vertical="center" wrapText="1"/>
    </xf>
    <xf numFmtId="0" fontId="0" fillId="0" borderId="11" xfId="0" applyBorder="1" applyAlignment="1" applyProtection="1">
      <alignment horizontal="left" vertical="center" wrapText="1"/>
    </xf>
    <xf numFmtId="0" fontId="0" fillId="0" borderId="12" xfId="0" applyBorder="1" applyAlignment="1" applyProtection="1">
      <alignment horizontal="left" vertical="center" wrapText="1"/>
    </xf>
    <xf numFmtId="0" fontId="0" fillId="0" borderId="7" xfId="0" applyBorder="1" applyAlignment="1" applyProtection="1">
      <alignment horizontal="center" vertical="center" wrapText="1"/>
    </xf>
    <xf numFmtId="0" fontId="0" fillId="0" borderId="14" xfId="0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0" borderId="2" xfId="0" applyBorder="1" applyAlignment="1" applyProtection="1">
      <alignment horizontal="left"/>
    </xf>
    <xf numFmtId="0" fontId="0" fillId="0" borderId="4" xfId="0" applyBorder="1" applyAlignment="1" applyProtection="1">
      <alignment horizontal="left"/>
    </xf>
    <xf numFmtId="0" fontId="0" fillId="0" borderId="2" xfId="0" applyBorder="1" applyAlignment="1" applyProtection="1">
      <alignment horizontal="left" vertical="center" wrapText="1"/>
    </xf>
    <xf numFmtId="0" fontId="0" fillId="0" borderId="4" xfId="0" applyBorder="1" applyAlignment="1" applyProtection="1">
      <alignment horizontal="left" vertical="center" wrapText="1"/>
    </xf>
    <xf numFmtId="0" fontId="7" fillId="0" borderId="0" xfId="0" applyFont="1" applyBorder="1" applyAlignment="1" applyProtection="1">
      <alignment horizontal="center" wrapText="1"/>
    </xf>
    <xf numFmtId="0" fontId="0" fillId="5" borderId="1" xfId="0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"/>
      <protection locked="0"/>
    </xf>
    <xf numFmtId="0" fontId="0" fillId="0" borderId="5" xfId="0" applyFill="1" applyBorder="1" applyAlignment="1" applyProtection="1">
      <alignment vertical="center" wrapText="1"/>
    </xf>
    <xf numFmtId="0" fontId="0" fillId="0" borderId="6" xfId="0" applyFill="1" applyBorder="1" applyAlignment="1" applyProtection="1">
      <alignment vertical="center" wrapText="1"/>
    </xf>
    <xf numFmtId="0" fontId="0" fillId="0" borderId="7" xfId="0" applyBorder="1" applyAlignment="1" applyProtection="1">
      <alignment horizontal="center"/>
      <protection locked="0"/>
    </xf>
    <xf numFmtId="0" fontId="1" fillId="5" borderId="9" xfId="0" applyFont="1" applyFill="1" applyBorder="1" applyAlignment="1" applyProtection="1">
      <alignment horizontal="center" vertical="center"/>
    </xf>
    <xf numFmtId="0" fontId="1" fillId="5" borderId="10" xfId="0" applyFont="1" applyFill="1" applyBorder="1" applyAlignment="1" applyProtection="1">
      <alignment horizontal="center" vertical="center"/>
    </xf>
    <xf numFmtId="9" fontId="2" fillId="5" borderId="9" xfId="1" applyFont="1" applyFill="1" applyBorder="1" applyAlignment="1" applyProtection="1">
      <alignment horizontal="center" vertical="center" wrapText="1"/>
    </xf>
    <xf numFmtId="9" fontId="2" fillId="5" borderId="10" xfId="1" applyFont="1" applyFill="1" applyBorder="1" applyAlignment="1" applyProtection="1">
      <alignment horizontal="center" vertical="center" wrapText="1"/>
    </xf>
    <xf numFmtId="9" fontId="2" fillId="5" borderId="13" xfId="1" applyFont="1" applyFill="1" applyBorder="1" applyAlignment="1" applyProtection="1">
      <alignment horizontal="center" vertical="center" wrapText="1"/>
    </xf>
    <xf numFmtId="0" fontId="0" fillId="0" borderId="2" xfId="0" applyFill="1" applyBorder="1" applyAlignment="1" applyProtection="1">
      <alignment horizontal="center" vertical="center"/>
    </xf>
    <xf numFmtId="0" fontId="0" fillId="0" borderId="4" xfId="0" applyFill="1" applyBorder="1" applyAlignment="1" applyProtection="1">
      <alignment horizontal="center" vertical="center"/>
    </xf>
    <xf numFmtId="0" fontId="7" fillId="0" borderId="17" xfId="0" applyFont="1" applyBorder="1" applyAlignment="1" applyProtection="1">
      <alignment horizontal="center" wrapText="1"/>
    </xf>
    <xf numFmtId="14" fontId="7" fillId="0" borderId="3" xfId="0" applyNumberFormat="1" applyFont="1" applyBorder="1" applyAlignment="1" applyProtection="1">
      <alignment horizontal="center" wrapText="1"/>
    </xf>
    <xf numFmtId="0" fontId="0" fillId="0" borderId="4" xfId="0" applyFill="1" applyBorder="1" applyAlignment="1" applyProtection="1">
      <alignment horizontal="left" vertical="center"/>
    </xf>
    <xf numFmtId="0" fontId="7" fillId="0" borderId="11" xfId="0" applyFont="1" applyBorder="1" applyAlignment="1" applyProtection="1">
      <alignment horizontal="center" wrapText="1"/>
    </xf>
    <xf numFmtId="0" fontId="7" fillId="0" borderId="18" xfId="0" applyFont="1" applyBorder="1" applyAlignment="1" applyProtection="1">
      <alignment horizontal="center" wrapText="1"/>
    </xf>
    <xf numFmtId="0" fontId="1" fillId="5" borderId="13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wrapText="1"/>
    </xf>
    <xf numFmtId="0" fontId="7" fillId="0" borderId="3" xfId="0" applyFont="1" applyBorder="1" applyAlignment="1" applyProtection="1">
      <alignment horizontal="center" wrapText="1"/>
    </xf>
    <xf numFmtId="0" fontId="0" fillId="0" borderId="1" xfId="0" applyBorder="1" applyAlignment="1" applyProtection="1">
      <alignment horizontal="left" vertical="center" wrapText="1"/>
    </xf>
    <xf numFmtId="0" fontId="13" fillId="7" borderId="20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/>
    </xf>
    <xf numFmtId="0" fontId="3" fillId="7" borderId="20" xfId="0" applyFont="1" applyFill="1" applyBorder="1" applyAlignment="1" applyProtection="1">
      <alignment horizontal="center" vertical="center" wrapText="1"/>
    </xf>
    <xf numFmtId="0" fontId="13" fillId="7" borderId="20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CC66"/>
      <color rgb="FFFFFF99"/>
      <color rgb="FFFFCC00"/>
      <color rgb="FFCC33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1797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656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A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B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B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B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0B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0B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0B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0B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0B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0B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0B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B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0B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0B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4370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62752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D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0D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0D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0D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0D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0D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0D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0D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0D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0D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D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0D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0D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0D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0D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0D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0D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0D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0D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0D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0D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0D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0D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0D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0D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0D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0D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0D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0D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0D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0D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0F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0F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0F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0F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0F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0F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0F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0F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0F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0F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0F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0F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4" name="Imagen 9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5" name="Imagen 9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6" name="Imagen 9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7" name="Imagen 9">
          <a:extLst>
            <a:ext uri="{FF2B5EF4-FFF2-40B4-BE49-F238E27FC236}">
              <a16:creationId xmlns:a16="http://schemas.microsoft.com/office/drawing/2014/main" id="{00000000-0008-0000-0F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8" name="Imagen 9">
          <a:extLst>
            <a:ext uri="{FF2B5EF4-FFF2-40B4-BE49-F238E27FC236}">
              <a16:creationId xmlns:a16="http://schemas.microsoft.com/office/drawing/2014/main" id="{00000000-0008-0000-0F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9" name="Imagen 9">
          <a:extLst>
            <a:ext uri="{FF2B5EF4-FFF2-40B4-BE49-F238E27FC236}">
              <a16:creationId xmlns:a16="http://schemas.microsoft.com/office/drawing/2014/main" id="{00000000-0008-0000-0F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0" name="Imagen 9">
          <a:extLst>
            <a:ext uri="{FF2B5EF4-FFF2-40B4-BE49-F238E27FC236}">
              <a16:creationId xmlns:a16="http://schemas.microsoft.com/office/drawing/2014/main" id="{00000000-0008-0000-0F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1" name="Imagen 9">
          <a:extLst>
            <a:ext uri="{FF2B5EF4-FFF2-40B4-BE49-F238E27FC236}">
              <a16:creationId xmlns:a16="http://schemas.microsoft.com/office/drawing/2014/main" id="{00000000-0008-0000-0F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2" name="Imagen 9">
          <a:extLst>
            <a:ext uri="{FF2B5EF4-FFF2-40B4-BE49-F238E27FC236}">
              <a16:creationId xmlns:a16="http://schemas.microsoft.com/office/drawing/2014/main" id="{00000000-0008-0000-0F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3" name="Imagen 9">
          <a:extLst>
            <a:ext uri="{FF2B5EF4-FFF2-40B4-BE49-F238E27FC236}">
              <a16:creationId xmlns:a16="http://schemas.microsoft.com/office/drawing/2014/main" id="{00000000-0008-0000-0F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4" name="Imagen 9">
          <a:extLst>
            <a:ext uri="{FF2B5EF4-FFF2-40B4-BE49-F238E27FC236}">
              <a16:creationId xmlns:a16="http://schemas.microsoft.com/office/drawing/2014/main" id="{00000000-0008-0000-0F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5" name="Imagen 9">
          <a:extLst>
            <a:ext uri="{FF2B5EF4-FFF2-40B4-BE49-F238E27FC236}">
              <a16:creationId xmlns:a16="http://schemas.microsoft.com/office/drawing/2014/main" id="{00000000-0008-0000-0F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6" name="Imagen 9">
          <a:extLst>
            <a:ext uri="{FF2B5EF4-FFF2-40B4-BE49-F238E27FC236}">
              <a16:creationId xmlns:a16="http://schemas.microsoft.com/office/drawing/2014/main" id="{00000000-0008-0000-0F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7" name="Imagen 9">
          <a:extLst>
            <a:ext uri="{FF2B5EF4-FFF2-40B4-BE49-F238E27FC236}">
              <a16:creationId xmlns:a16="http://schemas.microsoft.com/office/drawing/2014/main" id="{00000000-0008-0000-0F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8" name="Imagen 9">
          <a:extLst>
            <a:ext uri="{FF2B5EF4-FFF2-40B4-BE49-F238E27FC236}">
              <a16:creationId xmlns:a16="http://schemas.microsoft.com/office/drawing/2014/main" id="{00000000-0008-0000-0F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9" name="Imagen 9">
          <a:extLst>
            <a:ext uri="{FF2B5EF4-FFF2-40B4-BE49-F238E27FC236}">
              <a16:creationId xmlns:a16="http://schemas.microsoft.com/office/drawing/2014/main" id="{00000000-0008-0000-0F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1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1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1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1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1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1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1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1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1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1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1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1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1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1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1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1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1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1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1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1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1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1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1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1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1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1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1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1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1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1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1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1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1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1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1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1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1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1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1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1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1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1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1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1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1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1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1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1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1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1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1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1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1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1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1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1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1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1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1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1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1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1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1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1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1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1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1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" name="Imagen 9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" name="Imagen 9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" name="Imagen 9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" name="Imagen 9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" name="Imagen 9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" name="Imagen 9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" name="Imagen 9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" name="Imagen 9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" name="Imagen 9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6" name="Imagen 9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8" name="Imagen 9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9" name="Imagen 9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0" name="Imagen 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1" name="Imagen 9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2" name="Imagen 9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4" name="Imagen 9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5" name="Imagen 9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6" name="Imagen 9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7" name="Imagen 9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8" name="Imagen 9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29" name="Imagen 9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0" name="Imagen 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1" name="Imagen 9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2" name="Imagen 9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3" name="Imagen 9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4" name="Imagen 9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5" name="Imagen 9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6" name="Imagen 9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7" name="Imagen 9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8" name="Imagen 9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39" name="Imagen 9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1" name="Imagen 9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2" name="Imagen 9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3" name="Imagen 9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4" name="Imagen 9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5" name="Imagen 9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6" name="Imagen 9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7" name="Imagen 9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8" name="Imagen 9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49" name="Imagen 9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0" name="Imagen 9"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1" name="Imagen 9"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2" name="Imagen 9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3" name="Imagen 9"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4" name="Imagen 9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5" name="Imagen 9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6" name="Imagen 9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7" name="Imagen 9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8" name="Imagen 9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59" name="Imagen 9">
          <a:extLst>
            <a:ext uri="{FF2B5EF4-FFF2-40B4-BE49-F238E27FC236}">
              <a16:creationId xmlns:a16="http://schemas.microsoft.com/office/drawing/2014/main" id="{00000000-0008-0000-13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0" name="Imagen 9">
          <a:extLst>
            <a:ext uri="{FF2B5EF4-FFF2-40B4-BE49-F238E27FC236}">
              <a16:creationId xmlns:a16="http://schemas.microsoft.com/office/drawing/2014/main" id="{00000000-0008-0000-13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1" name="Imagen 9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2" name="Imagen 9">
          <a:extLst>
            <a:ext uri="{FF2B5EF4-FFF2-40B4-BE49-F238E27FC236}">
              <a16:creationId xmlns:a16="http://schemas.microsoft.com/office/drawing/2014/main" id="{00000000-0008-0000-13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3" name="Imagen 9">
          <a:extLst>
            <a:ext uri="{FF2B5EF4-FFF2-40B4-BE49-F238E27FC236}">
              <a16:creationId xmlns:a16="http://schemas.microsoft.com/office/drawing/2014/main" id="{00000000-0008-0000-13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4" name="Imagen 9">
          <a:extLst>
            <a:ext uri="{FF2B5EF4-FFF2-40B4-BE49-F238E27FC236}">
              <a16:creationId xmlns:a16="http://schemas.microsoft.com/office/drawing/2014/main" id="{00000000-0008-0000-13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5" name="Imagen 9">
          <a:extLst>
            <a:ext uri="{FF2B5EF4-FFF2-40B4-BE49-F238E27FC236}">
              <a16:creationId xmlns:a16="http://schemas.microsoft.com/office/drawing/2014/main" id="{00000000-0008-0000-13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6" name="Imagen 9">
          <a:extLst>
            <a:ext uri="{FF2B5EF4-FFF2-40B4-BE49-F238E27FC236}">
              <a16:creationId xmlns:a16="http://schemas.microsoft.com/office/drawing/2014/main" id="{00000000-0008-0000-13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7" name="Imagen 9">
          <a:extLst>
            <a:ext uri="{FF2B5EF4-FFF2-40B4-BE49-F238E27FC236}">
              <a16:creationId xmlns:a16="http://schemas.microsoft.com/office/drawing/2014/main" id="{00000000-0008-0000-13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8" name="Imagen 9">
          <a:extLst>
            <a:ext uri="{FF2B5EF4-FFF2-40B4-BE49-F238E27FC236}">
              <a16:creationId xmlns:a16="http://schemas.microsoft.com/office/drawing/2014/main" id="{00000000-0008-0000-13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69" name="Imagen 9">
          <a:extLst>
            <a:ext uri="{FF2B5EF4-FFF2-40B4-BE49-F238E27FC236}">
              <a16:creationId xmlns:a16="http://schemas.microsoft.com/office/drawing/2014/main" id="{00000000-0008-0000-13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0" name="Imagen 9">
          <a:extLst>
            <a:ext uri="{FF2B5EF4-FFF2-40B4-BE49-F238E27FC236}">
              <a16:creationId xmlns:a16="http://schemas.microsoft.com/office/drawing/2014/main" id="{00000000-0008-0000-13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1" name="Imagen 9">
          <a:extLst>
            <a:ext uri="{FF2B5EF4-FFF2-40B4-BE49-F238E27FC236}">
              <a16:creationId xmlns:a16="http://schemas.microsoft.com/office/drawing/2014/main" id="{00000000-0008-0000-13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2" name="Imagen 9">
          <a:extLst>
            <a:ext uri="{FF2B5EF4-FFF2-40B4-BE49-F238E27FC236}">
              <a16:creationId xmlns:a16="http://schemas.microsoft.com/office/drawing/2014/main" id="{00000000-0008-0000-13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3" name="Imagen 9">
          <a:extLst>
            <a:ext uri="{FF2B5EF4-FFF2-40B4-BE49-F238E27FC236}">
              <a16:creationId xmlns:a16="http://schemas.microsoft.com/office/drawing/2014/main" id="{00000000-0008-0000-13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4" name="Imagen 9">
          <a:extLst>
            <a:ext uri="{FF2B5EF4-FFF2-40B4-BE49-F238E27FC236}">
              <a16:creationId xmlns:a16="http://schemas.microsoft.com/office/drawing/2014/main" id="{00000000-0008-0000-13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5" name="Imagen 9">
          <a:extLst>
            <a:ext uri="{FF2B5EF4-FFF2-40B4-BE49-F238E27FC236}">
              <a16:creationId xmlns:a16="http://schemas.microsoft.com/office/drawing/2014/main" id="{00000000-0008-0000-13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6" name="Imagen 9">
          <a:extLst>
            <a:ext uri="{FF2B5EF4-FFF2-40B4-BE49-F238E27FC236}">
              <a16:creationId xmlns:a16="http://schemas.microsoft.com/office/drawing/2014/main" id="{00000000-0008-0000-13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7" name="Imagen 9">
          <a:extLst>
            <a:ext uri="{FF2B5EF4-FFF2-40B4-BE49-F238E27FC236}">
              <a16:creationId xmlns:a16="http://schemas.microsoft.com/office/drawing/2014/main" id="{00000000-0008-0000-13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8" name="Imagen 9">
          <a:extLst>
            <a:ext uri="{FF2B5EF4-FFF2-40B4-BE49-F238E27FC236}">
              <a16:creationId xmlns:a16="http://schemas.microsoft.com/office/drawing/2014/main" id="{00000000-0008-0000-1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79" name="Imagen 9">
          <a:extLst>
            <a:ext uri="{FF2B5EF4-FFF2-40B4-BE49-F238E27FC236}">
              <a16:creationId xmlns:a16="http://schemas.microsoft.com/office/drawing/2014/main" id="{00000000-0008-0000-13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0" name="Imagen 9">
          <a:extLst>
            <a:ext uri="{FF2B5EF4-FFF2-40B4-BE49-F238E27FC236}">
              <a16:creationId xmlns:a16="http://schemas.microsoft.com/office/drawing/2014/main" id="{00000000-0008-0000-13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1" name="Imagen 9">
          <a:extLst>
            <a:ext uri="{FF2B5EF4-FFF2-40B4-BE49-F238E27FC236}">
              <a16:creationId xmlns:a16="http://schemas.microsoft.com/office/drawing/2014/main" id="{00000000-0008-0000-1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2" name="Imagen 9">
          <a:extLst>
            <a:ext uri="{FF2B5EF4-FFF2-40B4-BE49-F238E27FC236}">
              <a16:creationId xmlns:a16="http://schemas.microsoft.com/office/drawing/2014/main" id="{00000000-0008-0000-13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3" name="Imagen 9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4" name="Imagen 9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5" name="Imagen 9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6" name="Imagen 9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7" name="Imagen 9">
          <a:extLst>
            <a:ext uri="{FF2B5EF4-FFF2-40B4-BE49-F238E27FC236}">
              <a16:creationId xmlns:a16="http://schemas.microsoft.com/office/drawing/2014/main" id="{00000000-0008-0000-13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8" name="Imagen 9">
          <a:extLst>
            <a:ext uri="{FF2B5EF4-FFF2-40B4-BE49-F238E27FC236}">
              <a16:creationId xmlns:a16="http://schemas.microsoft.com/office/drawing/2014/main" id="{00000000-0008-0000-13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89" name="Imagen 9">
          <a:extLst>
            <a:ext uri="{FF2B5EF4-FFF2-40B4-BE49-F238E27FC236}">
              <a16:creationId xmlns:a16="http://schemas.microsoft.com/office/drawing/2014/main" id="{00000000-0008-0000-13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0" name="Imagen 9">
          <a:extLst>
            <a:ext uri="{FF2B5EF4-FFF2-40B4-BE49-F238E27FC236}">
              <a16:creationId xmlns:a16="http://schemas.microsoft.com/office/drawing/2014/main" id="{00000000-0008-0000-1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1" name="Imagen 9">
          <a:extLst>
            <a:ext uri="{FF2B5EF4-FFF2-40B4-BE49-F238E27FC236}">
              <a16:creationId xmlns:a16="http://schemas.microsoft.com/office/drawing/2014/main" id="{00000000-0008-0000-1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2" name="Imagen 9">
          <a:extLst>
            <a:ext uri="{FF2B5EF4-FFF2-40B4-BE49-F238E27FC236}">
              <a16:creationId xmlns:a16="http://schemas.microsoft.com/office/drawing/2014/main" id="{00000000-0008-0000-1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3" name="Imagen 9">
          <a:extLst>
            <a:ext uri="{FF2B5EF4-FFF2-40B4-BE49-F238E27FC236}">
              <a16:creationId xmlns:a16="http://schemas.microsoft.com/office/drawing/2014/main" id="{00000000-0008-0000-1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4" name="Imagen 9">
          <a:extLst>
            <a:ext uri="{FF2B5EF4-FFF2-40B4-BE49-F238E27FC236}">
              <a16:creationId xmlns:a16="http://schemas.microsoft.com/office/drawing/2014/main" id="{00000000-0008-0000-13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5" name="Imagen 9">
          <a:extLst>
            <a:ext uri="{FF2B5EF4-FFF2-40B4-BE49-F238E27FC236}">
              <a16:creationId xmlns:a16="http://schemas.microsoft.com/office/drawing/2014/main" id="{00000000-0008-0000-1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6" name="Imagen 9">
          <a:extLst>
            <a:ext uri="{FF2B5EF4-FFF2-40B4-BE49-F238E27FC236}">
              <a16:creationId xmlns:a16="http://schemas.microsoft.com/office/drawing/2014/main" id="{00000000-0008-0000-13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7" name="Imagen 9">
          <a:extLst>
            <a:ext uri="{FF2B5EF4-FFF2-40B4-BE49-F238E27FC236}">
              <a16:creationId xmlns:a16="http://schemas.microsoft.com/office/drawing/2014/main" id="{00000000-0008-0000-13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8" name="Imagen 9">
          <a:extLst>
            <a:ext uri="{FF2B5EF4-FFF2-40B4-BE49-F238E27FC236}">
              <a16:creationId xmlns:a16="http://schemas.microsoft.com/office/drawing/2014/main" id="{00000000-0008-0000-13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99" name="Imagen 9">
          <a:extLst>
            <a:ext uri="{FF2B5EF4-FFF2-40B4-BE49-F238E27FC236}">
              <a16:creationId xmlns:a16="http://schemas.microsoft.com/office/drawing/2014/main" id="{00000000-0008-0000-13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0" name="Imagen 9">
          <a:extLst>
            <a:ext uri="{FF2B5EF4-FFF2-40B4-BE49-F238E27FC236}">
              <a16:creationId xmlns:a16="http://schemas.microsoft.com/office/drawing/2014/main" id="{00000000-0008-0000-13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1" name="Imagen 9">
          <a:extLst>
            <a:ext uri="{FF2B5EF4-FFF2-40B4-BE49-F238E27FC236}">
              <a16:creationId xmlns:a16="http://schemas.microsoft.com/office/drawing/2014/main" id="{00000000-0008-0000-13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2" name="Imagen 9">
          <a:extLst>
            <a:ext uri="{FF2B5EF4-FFF2-40B4-BE49-F238E27FC236}">
              <a16:creationId xmlns:a16="http://schemas.microsoft.com/office/drawing/2014/main" id="{00000000-0008-0000-13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3" name="Imagen 9">
          <a:extLst>
            <a:ext uri="{FF2B5EF4-FFF2-40B4-BE49-F238E27FC236}">
              <a16:creationId xmlns:a16="http://schemas.microsoft.com/office/drawing/2014/main" id="{00000000-0008-0000-13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4" name="Imagen 9">
          <a:extLst>
            <a:ext uri="{FF2B5EF4-FFF2-40B4-BE49-F238E27FC236}">
              <a16:creationId xmlns:a16="http://schemas.microsoft.com/office/drawing/2014/main" id="{00000000-0008-0000-13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5" name="Imagen 9">
          <a:extLst>
            <a:ext uri="{FF2B5EF4-FFF2-40B4-BE49-F238E27FC236}">
              <a16:creationId xmlns:a16="http://schemas.microsoft.com/office/drawing/2014/main" id="{00000000-0008-0000-13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6" name="Imagen 9">
          <a:extLst>
            <a:ext uri="{FF2B5EF4-FFF2-40B4-BE49-F238E27FC236}">
              <a16:creationId xmlns:a16="http://schemas.microsoft.com/office/drawing/2014/main" id="{00000000-0008-0000-13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7" name="Imagen 9">
          <a:extLst>
            <a:ext uri="{FF2B5EF4-FFF2-40B4-BE49-F238E27FC236}">
              <a16:creationId xmlns:a16="http://schemas.microsoft.com/office/drawing/2014/main" id="{00000000-0008-0000-13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8" name="Imagen 9">
          <a:extLst>
            <a:ext uri="{FF2B5EF4-FFF2-40B4-BE49-F238E27FC236}">
              <a16:creationId xmlns:a16="http://schemas.microsoft.com/office/drawing/2014/main" id="{00000000-0008-0000-13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09" name="Imagen 9">
          <a:extLst>
            <a:ext uri="{FF2B5EF4-FFF2-40B4-BE49-F238E27FC236}">
              <a16:creationId xmlns:a16="http://schemas.microsoft.com/office/drawing/2014/main" id="{00000000-0008-0000-13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0" name="Imagen 9">
          <a:extLst>
            <a:ext uri="{FF2B5EF4-FFF2-40B4-BE49-F238E27FC236}">
              <a16:creationId xmlns:a16="http://schemas.microsoft.com/office/drawing/2014/main" id="{00000000-0008-0000-13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1" name="Imagen 9">
          <a:extLst>
            <a:ext uri="{FF2B5EF4-FFF2-40B4-BE49-F238E27FC236}">
              <a16:creationId xmlns:a16="http://schemas.microsoft.com/office/drawing/2014/main" id="{00000000-0008-0000-13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2" name="Imagen 9">
          <a:extLst>
            <a:ext uri="{FF2B5EF4-FFF2-40B4-BE49-F238E27FC236}">
              <a16:creationId xmlns:a16="http://schemas.microsoft.com/office/drawing/2014/main" id="{00000000-0008-0000-1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3" name="Imagen 9">
          <a:extLst>
            <a:ext uri="{FF2B5EF4-FFF2-40B4-BE49-F238E27FC236}">
              <a16:creationId xmlns:a16="http://schemas.microsoft.com/office/drawing/2014/main" id="{00000000-0008-0000-13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4" name="Imagen 9">
          <a:extLst>
            <a:ext uri="{FF2B5EF4-FFF2-40B4-BE49-F238E27FC236}">
              <a16:creationId xmlns:a16="http://schemas.microsoft.com/office/drawing/2014/main" id="{00000000-0008-0000-13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5" name="Imagen 9">
          <a:extLst>
            <a:ext uri="{FF2B5EF4-FFF2-40B4-BE49-F238E27FC236}">
              <a16:creationId xmlns:a16="http://schemas.microsoft.com/office/drawing/2014/main" id="{00000000-0008-0000-13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6" name="Imagen 9">
          <a:extLst>
            <a:ext uri="{FF2B5EF4-FFF2-40B4-BE49-F238E27FC236}">
              <a16:creationId xmlns:a16="http://schemas.microsoft.com/office/drawing/2014/main" id="{00000000-0008-0000-13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7" name="Imagen 9">
          <a:extLst>
            <a:ext uri="{FF2B5EF4-FFF2-40B4-BE49-F238E27FC236}">
              <a16:creationId xmlns:a16="http://schemas.microsoft.com/office/drawing/2014/main" id="{00000000-0008-0000-13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8" name="Imagen 9">
          <a:extLst>
            <a:ext uri="{FF2B5EF4-FFF2-40B4-BE49-F238E27FC236}">
              <a16:creationId xmlns:a16="http://schemas.microsoft.com/office/drawing/2014/main" id="{00000000-0008-0000-13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19" name="Imagen 9">
          <a:extLst>
            <a:ext uri="{FF2B5EF4-FFF2-40B4-BE49-F238E27FC236}">
              <a16:creationId xmlns:a16="http://schemas.microsoft.com/office/drawing/2014/main" id="{00000000-0008-0000-13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0" name="Imagen 9">
          <a:extLst>
            <a:ext uri="{FF2B5EF4-FFF2-40B4-BE49-F238E27FC236}">
              <a16:creationId xmlns:a16="http://schemas.microsoft.com/office/drawing/2014/main" id="{00000000-0008-0000-13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1" name="Imagen 9">
          <a:extLst>
            <a:ext uri="{FF2B5EF4-FFF2-40B4-BE49-F238E27FC236}">
              <a16:creationId xmlns:a16="http://schemas.microsoft.com/office/drawing/2014/main" id="{00000000-0008-0000-13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2" name="Imagen 9">
          <a:extLst>
            <a:ext uri="{FF2B5EF4-FFF2-40B4-BE49-F238E27FC236}">
              <a16:creationId xmlns:a16="http://schemas.microsoft.com/office/drawing/2014/main" id="{00000000-0008-0000-13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56029</xdr:colOff>
      <xdr:row>0</xdr:row>
      <xdr:rowOff>56031</xdr:rowOff>
    </xdr:from>
    <xdr:to>
      <xdr:col>1</xdr:col>
      <xdr:colOff>571928</xdr:colOff>
      <xdr:row>2</xdr:row>
      <xdr:rowOff>112058</xdr:rowOff>
    </xdr:to>
    <xdr:pic>
      <xdr:nvPicPr>
        <xdr:cNvPr id="123" name="Imagen 9">
          <a:extLst>
            <a:ext uri="{FF2B5EF4-FFF2-40B4-BE49-F238E27FC236}">
              <a16:creationId xmlns:a16="http://schemas.microsoft.com/office/drawing/2014/main" id="{00000000-0008-0000-13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6031"/>
          <a:ext cx="792124" cy="50370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60"/>
  <sheetViews>
    <sheetView tabSelected="1"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27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hidden="1" customWidth="1" collapsed="1"/>
    <col min="13" max="14" width="11.44140625" style="6" hidden="1" customWidth="1" collapsed="1"/>
    <col min="15" max="16" width="11.44140625" style="2" hidden="1" customWidth="1" collapsed="1"/>
    <col min="17" max="17" width="0" style="2" hidden="1" customWidth="1" collapsed="1"/>
    <col min="18" max="21" width="11.44140625" style="2" collapsed="1"/>
    <col min="22" max="25" width="0" style="2" hidden="1" customWidth="1" collapsed="1"/>
    <col min="26" max="16384" width="11.44140625" style="2" collapsed="1"/>
  </cols>
  <sheetData>
    <row r="1" spans="1:22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38" t="s">
        <v>47</v>
      </c>
      <c r="K1" s="139"/>
      <c r="U1" s="104"/>
    </row>
    <row r="2" spans="1:22" ht="15.7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U2" s="104"/>
    </row>
    <row r="3" spans="1:22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Q3" s="78" t="s">
        <v>109</v>
      </c>
      <c r="U3" s="104"/>
    </row>
    <row r="4" spans="1:22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Q4" s="78" t="s">
        <v>110</v>
      </c>
      <c r="U4" s="104"/>
    </row>
    <row r="5" spans="1:22" ht="15.75" customHeight="1" x14ac:dyDescent="0.3">
      <c r="A5" s="3"/>
      <c r="B5" s="13" t="s">
        <v>30</v>
      </c>
      <c r="C5" s="136" t="s">
        <v>109</v>
      </c>
      <c r="D5" s="136"/>
      <c r="E5" s="136"/>
      <c r="F5" s="136"/>
      <c r="G5" s="136"/>
      <c r="H5" s="13" t="s">
        <v>0</v>
      </c>
      <c r="I5" s="137">
        <v>46157</v>
      </c>
      <c r="J5" s="137"/>
      <c r="Q5" s="78" t="s">
        <v>111</v>
      </c>
      <c r="U5" s="104"/>
    </row>
    <row r="6" spans="1:22" ht="15.75" customHeight="1" x14ac:dyDescent="0.3">
      <c r="A6" s="18"/>
      <c r="E6" s="19"/>
      <c r="F6" s="19"/>
      <c r="G6" s="11"/>
      <c r="Q6" s="78" t="s">
        <v>112</v>
      </c>
      <c r="U6" s="104"/>
    </row>
    <row r="7" spans="1:22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Q7" s="78" t="s">
        <v>113</v>
      </c>
      <c r="U7" s="104"/>
    </row>
    <row r="8" spans="1:22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M8" s="2"/>
      <c r="N8" s="2"/>
      <c r="Q8" s="78" t="s">
        <v>114</v>
      </c>
      <c r="U8" s="104"/>
    </row>
    <row r="9" spans="1:22" ht="18" customHeight="1" x14ac:dyDescent="0.3">
      <c r="A9" s="29">
        <v>1</v>
      </c>
      <c r="B9" s="153" t="s">
        <v>27</v>
      </c>
      <c r="C9" s="154"/>
      <c r="D9" s="28">
        <v>4</v>
      </c>
      <c r="E9" s="28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Q9" s="78" t="s">
        <v>115</v>
      </c>
      <c r="U9" s="104"/>
      <c r="V9" s="87" t="s">
        <v>2</v>
      </c>
    </row>
    <row r="10" spans="1:22" ht="18" customHeight="1" x14ac:dyDescent="0.3">
      <c r="A10" s="29">
        <v>2</v>
      </c>
      <c r="B10" s="153" t="s">
        <v>26</v>
      </c>
      <c r="C10" s="154"/>
      <c r="D10" s="28">
        <v>4</v>
      </c>
      <c r="E10" s="28">
        <v>4</v>
      </c>
      <c r="F10" s="7">
        <v>3</v>
      </c>
      <c r="G10" s="22">
        <f t="shared" ref="G10:G29" si="0">IF(D10="","",IF(D10=0,"-",IF(F10&gt;D10,"ERROR",IF(E10&gt;D10,"ERROR",IF(E10&lt;D10,0,IF(E10&gt;F10,0,IF(F10=D10,1,0)))))))</f>
        <v>0</v>
      </c>
      <c r="H10" s="130"/>
      <c r="I10" s="130"/>
      <c r="J10" s="130"/>
      <c r="K10" s="130"/>
      <c r="Q10" s="78" t="s">
        <v>116</v>
      </c>
      <c r="U10" s="104"/>
      <c r="V10" s="87" t="s">
        <v>46</v>
      </c>
    </row>
    <row r="11" spans="1:22" ht="18" customHeight="1" x14ac:dyDescent="0.3">
      <c r="A11" s="29">
        <v>3</v>
      </c>
      <c r="B11" s="153" t="s">
        <v>29</v>
      </c>
      <c r="C11" s="154"/>
      <c r="D11" s="28">
        <v>4</v>
      </c>
      <c r="E11" s="28">
        <v>3</v>
      </c>
      <c r="F11" s="7">
        <v>4</v>
      </c>
      <c r="G11" s="22">
        <f t="shared" si="0"/>
        <v>0</v>
      </c>
      <c r="H11" s="130"/>
      <c r="I11" s="130"/>
      <c r="J11" s="130"/>
      <c r="K11" s="130"/>
      <c r="Q11" s="78" t="s">
        <v>117</v>
      </c>
      <c r="U11" s="104"/>
      <c r="V11" s="87" t="s">
        <v>92</v>
      </c>
    </row>
    <row r="12" spans="1:22" ht="18" customHeight="1" x14ac:dyDescent="0.3">
      <c r="A12" s="29">
        <v>4</v>
      </c>
      <c r="B12" s="153" t="s">
        <v>28</v>
      </c>
      <c r="C12" s="154"/>
      <c r="D12" s="28">
        <v>4</v>
      </c>
      <c r="E12" s="28">
        <v>3</v>
      </c>
      <c r="F12" s="7">
        <v>4</v>
      </c>
      <c r="G12" s="22">
        <f t="shared" si="0"/>
        <v>0</v>
      </c>
      <c r="H12" s="130"/>
      <c r="I12" s="130"/>
      <c r="J12" s="130"/>
      <c r="K12" s="130"/>
      <c r="Q12" s="78" t="s">
        <v>118</v>
      </c>
      <c r="U12" s="104"/>
      <c r="V12" s="87" t="s">
        <v>12</v>
      </c>
    </row>
    <row r="13" spans="1:22" ht="18" customHeight="1" x14ac:dyDescent="0.3">
      <c r="A13" s="29">
        <v>5</v>
      </c>
      <c r="B13" s="153" t="s">
        <v>20</v>
      </c>
      <c r="C13" s="154"/>
      <c r="D13" s="28">
        <v>4</v>
      </c>
      <c r="E13" s="28">
        <v>4</v>
      </c>
      <c r="F13" s="7">
        <v>4</v>
      </c>
      <c r="G13" s="22">
        <f t="shared" si="0"/>
        <v>1</v>
      </c>
      <c r="H13" s="130"/>
      <c r="I13" s="130"/>
      <c r="J13" s="130"/>
      <c r="K13" s="130"/>
      <c r="Q13" s="78" t="s">
        <v>119</v>
      </c>
      <c r="U13" s="104"/>
      <c r="V13" s="87" t="s">
        <v>45</v>
      </c>
    </row>
    <row r="14" spans="1:22" ht="18" customHeight="1" x14ac:dyDescent="0.3">
      <c r="A14" s="29">
        <v>6</v>
      </c>
      <c r="B14" s="131" t="s">
        <v>53</v>
      </c>
      <c r="C14" s="132"/>
      <c r="D14" s="28">
        <v>1</v>
      </c>
      <c r="E14" s="28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Q14" s="78" t="s">
        <v>120</v>
      </c>
      <c r="U14" s="104"/>
      <c r="V14" s="87" t="s">
        <v>11</v>
      </c>
    </row>
    <row r="15" spans="1:22" ht="18" customHeight="1" x14ac:dyDescent="0.3">
      <c r="A15" s="173">
        <v>7</v>
      </c>
      <c r="B15" s="161" t="s">
        <v>22</v>
      </c>
      <c r="C15" s="162"/>
      <c r="D15" s="167">
        <v>4</v>
      </c>
      <c r="E15" s="167">
        <v>4</v>
      </c>
      <c r="F15" s="170">
        <v>4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46"/>
      <c r="J15" s="51" t="s">
        <v>60</v>
      </c>
      <c r="K15" s="46"/>
      <c r="Q15" s="78" t="s">
        <v>121</v>
      </c>
      <c r="U15" s="104"/>
      <c r="V15" s="87" t="s">
        <v>93</v>
      </c>
    </row>
    <row r="16" spans="1:22" ht="18" customHeight="1" x14ac:dyDescent="0.3">
      <c r="A16" s="174"/>
      <c r="B16" s="163"/>
      <c r="C16" s="164"/>
      <c r="D16" s="168"/>
      <c r="E16" s="168"/>
      <c r="F16" s="171"/>
      <c r="G16" s="156"/>
      <c r="H16" s="51" t="s">
        <v>62</v>
      </c>
      <c r="I16" s="60"/>
      <c r="J16" s="51" t="s">
        <v>60</v>
      </c>
      <c r="K16" s="46"/>
      <c r="M16" s="2"/>
      <c r="N16" s="2"/>
      <c r="Q16" s="78" t="s">
        <v>122</v>
      </c>
      <c r="U16" s="104"/>
      <c r="V16" s="87" t="s">
        <v>94</v>
      </c>
    </row>
    <row r="17" spans="1:22" ht="18" customHeight="1" x14ac:dyDescent="0.3">
      <c r="A17" s="174"/>
      <c r="B17" s="163"/>
      <c r="C17" s="164"/>
      <c r="D17" s="168"/>
      <c r="E17" s="168"/>
      <c r="F17" s="171"/>
      <c r="G17" s="156"/>
      <c r="H17" s="51" t="s">
        <v>63</v>
      </c>
      <c r="I17" s="61"/>
      <c r="J17" s="51" t="s">
        <v>60</v>
      </c>
      <c r="K17" s="46"/>
      <c r="M17" s="2"/>
      <c r="N17" s="2"/>
      <c r="Q17" s="78" t="s">
        <v>123</v>
      </c>
      <c r="U17" s="104"/>
      <c r="V17" s="87" t="s">
        <v>13</v>
      </c>
    </row>
    <row r="18" spans="1:22" ht="18" customHeight="1" x14ac:dyDescent="0.3">
      <c r="A18" s="174"/>
      <c r="B18" s="163"/>
      <c r="C18" s="164"/>
      <c r="D18" s="168"/>
      <c r="E18" s="168"/>
      <c r="F18" s="171"/>
      <c r="G18" s="156"/>
      <c r="H18" s="51" t="s">
        <v>64</v>
      </c>
      <c r="I18" s="61"/>
      <c r="J18" s="51" t="s">
        <v>60</v>
      </c>
      <c r="K18" s="46"/>
      <c r="M18" s="2"/>
      <c r="N18" s="2"/>
      <c r="Q18" s="78" t="s">
        <v>124</v>
      </c>
      <c r="U18" s="104" t="str">
        <f>W23&amp;" "&amp;T23</f>
        <v xml:space="preserve"> </v>
      </c>
      <c r="V18" s="87" t="s">
        <v>6</v>
      </c>
    </row>
    <row r="19" spans="1:22" ht="18" customHeight="1" x14ac:dyDescent="0.3">
      <c r="A19" s="174"/>
      <c r="B19" s="163"/>
      <c r="C19" s="164"/>
      <c r="D19" s="168"/>
      <c r="E19" s="168"/>
      <c r="F19" s="171"/>
      <c r="G19" s="156"/>
      <c r="H19" s="51" t="s">
        <v>65</v>
      </c>
      <c r="I19" s="61"/>
      <c r="J19" s="51" t="s">
        <v>60</v>
      </c>
      <c r="K19" s="46"/>
      <c r="M19" s="2"/>
      <c r="N19" s="2"/>
      <c r="Q19" s="78" t="s">
        <v>125</v>
      </c>
      <c r="U19" s="104" t="str">
        <f>W24&amp;" "&amp;T24</f>
        <v xml:space="preserve"> </v>
      </c>
      <c r="V19" s="87" t="s">
        <v>76</v>
      </c>
    </row>
    <row r="20" spans="1:22" ht="18" customHeight="1" x14ac:dyDescent="0.3">
      <c r="A20" s="174"/>
      <c r="B20" s="163"/>
      <c r="C20" s="164"/>
      <c r="D20" s="168"/>
      <c r="E20" s="168"/>
      <c r="F20" s="171"/>
      <c r="G20" s="156"/>
      <c r="H20" s="51" t="s">
        <v>66</v>
      </c>
      <c r="I20" s="45"/>
      <c r="J20" s="51" t="s">
        <v>60</v>
      </c>
      <c r="K20" s="46"/>
      <c r="M20" s="2"/>
      <c r="N20" s="2"/>
      <c r="Q20" s="78" t="s">
        <v>126</v>
      </c>
      <c r="U20" s="104" t="str">
        <f>W25&amp;" "&amp;T25</f>
        <v xml:space="preserve"> </v>
      </c>
      <c r="V20" s="87" t="s">
        <v>7</v>
      </c>
    </row>
    <row r="21" spans="1:22" ht="18.75" customHeight="1" x14ac:dyDescent="0.3">
      <c r="A21" s="174"/>
      <c r="B21" s="163"/>
      <c r="C21" s="164"/>
      <c r="D21" s="168"/>
      <c r="E21" s="168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Q21" s="78" t="s">
        <v>127</v>
      </c>
      <c r="V21" s="87" t="s">
        <v>95</v>
      </c>
    </row>
    <row r="22" spans="1:22" ht="18.75" customHeight="1" x14ac:dyDescent="0.3">
      <c r="A22" s="175"/>
      <c r="B22" s="165"/>
      <c r="C22" s="166"/>
      <c r="D22" s="169"/>
      <c r="E22" s="169"/>
      <c r="F22" s="172"/>
      <c r="G22" s="157"/>
      <c r="H22" s="158"/>
      <c r="I22" s="159"/>
      <c r="J22" s="159"/>
      <c r="K22" s="160"/>
      <c r="L22" s="4"/>
      <c r="M22" s="2"/>
      <c r="N22" s="2"/>
      <c r="Q22" s="78" t="s">
        <v>128</v>
      </c>
      <c r="V22" s="87" t="s">
        <v>96</v>
      </c>
    </row>
    <row r="23" spans="1:22" ht="18" customHeight="1" x14ac:dyDescent="0.3">
      <c r="A23" s="29">
        <v>8</v>
      </c>
      <c r="B23" s="131" t="s">
        <v>19</v>
      </c>
      <c r="C23" s="132"/>
      <c r="D23" s="28">
        <v>1</v>
      </c>
      <c r="E23" s="28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V23" s="87" t="s">
        <v>97</v>
      </c>
    </row>
    <row r="24" spans="1:22" ht="18" customHeight="1" x14ac:dyDescent="0.3">
      <c r="A24" s="29">
        <v>9</v>
      </c>
      <c r="B24" s="131" t="s">
        <v>18</v>
      </c>
      <c r="C24" s="132"/>
      <c r="D24" s="28">
        <v>1</v>
      </c>
      <c r="E24" s="28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V24" s="87" t="s">
        <v>98</v>
      </c>
    </row>
    <row r="25" spans="1:22" x14ac:dyDescent="0.3">
      <c r="A25" s="29">
        <v>10</v>
      </c>
      <c r="B25" s="153" t="s">
        <v>8</v>
      </c>
      <c r="C25" s="154"/>
      <c r="D25" s="28">
        <v>4</v>
      </c>
      <c r="E25" s="28">
        <v>4</v>
      </c>
      <c r="F25" s="7">
        <v>4</v>
      </c>
      <c r="G25" s="22">
        <f t="shared" si="0"/>
        <v>1</v>
      </c>
      <c r="H25" s="130"/>
      <c r="I25" s="130"/>
      <c r="J25" s="130"/>
      <c r="K25" s="130"/>
      <c r="M25" s="2"/>
      <c r="N25" s="2"/>
      <c r="V25" s="87" t="s">
        <v>99</v>
      </c>
    </row>
    <row r="26" spans="1:22" x14ac:dyDescent="0.3">
      <c r="A26" s="29">
        <v>11</v>
      </c>
      <c r="B26" s="178" t="s">
        <v>102</v>
      </c>
      <c r="C26" s="179"/>
      <c r="D26" s="28">
        <v>0</v>
      </c>
      <c r="E26" s="28">
        <v>1</v>
      </c>
      <c r="F26" s="7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V26" s="87" t="s">
        <v>100</v>
      </c>
    </row>
    <row r="27" spans="1:22" ht="18" customHeight="1" x14ac:dyDescent="0.3">
      <c r="A27" s="29">
        <v>12</v>
      </c>
      <c r="B27" s="176" t="s">
        <v>58</v>
      </c>
      <c r="C27" s="177"/>
      <c r="D27" s="28">
        <v>1</v>
      </c>
      <c r="E27" s="28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M27" s="2"/>
      <c r="N27" s="2"/>
      <c r="V27" s="87" t="s">
        <v>101</v>
      </c>
    </row>
    <row r="28" spans="1:22" ht="18" customHeight="1" x14ac:dyDescent="0.3">
      <c r="A28" s="29">
        <v>13</v>
      </c>
      <c r="B28" s="131" t="s">
        <v>54</v>
      </c>
      <c r="C28" s="132"/>
      <c r="D28" s="28">
        <v>0</v>
      </c>
      <c r="E28" s="28">
        <v>1</v>
      </c>
      <c r="F28" s="7">
        <v>1</v>
      </c>
      <c r="G28" s="22" t="str">
        <f t="shared" si="0"/>
        <v>-</v>
      </c>
      <c r="H28" s="113"/>
      <c r="I28" s="114"/>
      <c r="J28" s="114"/>
      <c r="K28" s="115"/>
      <c r="M28" s="2"/>
      <c r="N28" s="2"/>
    </row>
    <row r="29" spans="1:22" ht="18" customHeight="1" x14ac:dyDescent="0.3">
      <c r="A29" s="29">
        <v>14</v>
      </c>
      <c r="B29" s="105" t="s">
        <v>68</v>
      </c>
      <c r="C29" s="106"/>
      <c r="D29" s="88">
        <v>4</v>
      </c>
      <c r="E29" s="28">
        <v>4</v>
      </c>
      <c r="F29" s="7">
        <v>4</v>
      </c>
      <c r="G29" s="22">
        <f t="shared" si="0"/>
        <v>1</v>
      </c>
      <c r="H29" s="80"/>
      <c r="I29" s="81"/>
      <c r="J29" s="81"/>
      <c r="K29" s="82"/>
      <c r="M29" s="2"/>
      <c r="N29" s="2"/>
    </row>
    <row r="30" spans="1:22" ht="18" customHeight="1" x14ac:dyDescent="0.3">
      <c r="A30" s="107" t="s">
        <v>104</v>
      </c>
      <c r="B30" s="108"/>
      <c r="C30" s="108"/>
      <c r="D30" s="108"/>
      <c r="E30" s="108"/>
      <c r="F30" s="109"/>
      <c r="G30" s="110">
        <f>IFERROR(AVERAGE(G10:G29),"-")</f>
        <v>0.72727272727272729</v>
      </c>
      <c r="H30" s="111"/>
      <c r="I30" s="111"/>
      <c r="J30" s="111"/>
      <c r="K30" s="112"/>
    </row>
    <row r="31" spans="1:22" ht="17.25" customHeight="1" x14ac:dyDescent="0.3">
      <c r="A31" s="128" t="s">
        <v>57</v>
      </c>
      <c r="B31" s="129"/>
      <c r="C31" s="126" t="s">
        <v>146</v>
      </c>
      <c r="D31" s="127"/>
      <c r="E31" s="38"/>
      <c r="F31" s="38"/>
      <c r="G31" s="24"/>
      <c r="H31" s="25"/>
      <c r="I31" s="26"/>
      <c r="J31" s="25"/>
    </row>
    <row r="32" spans="1:22" ht="28.5" customHeight="1" x14ac:dyDescent="0.3">
      <c r="A32" s="124" t="s">
        <v>59</v>
      </c>
      <c r="B32" s="125"/>
      <c r="C32" s="122" t="s">
        <v>147</v>
      </c>
      <c r="D32" s="123"/>
      <c r="E32" s="39"/>
      <c r="F32" s="39"/>
      <c r="G32" s="27"/>
      <c r="H32" s="26"/>
      <c r="I32" s="26"/>
      <c r="J32" s="25"/>
    </row>
    <row r="33" spans="1:16" x14ac:dyDescent="0.3">
      <c r="A33" s="40"/>
      <c r="B33" s="40"/>
      <c r="C33" s="41"/>
      <c r="D33" s="41"/>
      <c r="E33" s="39"/>
      <c r="F33" s="39"/>
      <c r="G33" s="27"/>
      <c r="H33" s="26"/>
      <c r="I33" s="26"/>
      <c r="J33" s="25"/>
    </row>
    <row r="34" spans="1:16" ht="20.100000000000001" customHeight="1" x14ac:dyDescent="0.3">
      <c r="A34" s="116" t="s">
        <v>56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8"/>
    </row>
    <row r="35" spans="1:16" ht="20.100000000000001" customHeight="1" x14ac:dyDescent="0.3">
      <c r="A35" s="119"/>
      <c r="B35" s="120"/>
      <c r="C35" s="120"/>
      <c r="D35" s="120"/>
      <c r="E35" s="120"/>
      <c r="F35" s="120"/>
      <c r="G35" s="120"/>
      <c r="H35" s="120"/>
      <c r="I35" s="120"/>
      <c r="J35" s="120"/>
      <c r="K35" s="121"/>
    </row>
    <row r="36" spans="1:16" ht="20.100000000000001" customHeight="1" x14ac:dyDescent="0.3"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x14ac:dyDescent="0.3">
      <c r="K39" s="5"/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x14ac:dyDescent="0.3">
      <c r="K40" s="1"/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x14ac:dyDescent="0.3">
      <c r="K41" s="1"/>
      <c r="L41" s="43" t="s">
        <v>17</v>
      </c>
      <c r="M41" s="15">
        <v>1</v>
      </c>
      <c r="N41" s="43" t="s">
        <v>17</v>
      </c>
      <c r="O41" s="6" t="s">
        <v>34</v>
      </c>
    </row>
    <row r="42" spans="1:16" x14ac:dyDescent="0.3">
      <c r="K42" s="1"/>
      <c r="M42" s="16">
        <v>2</v>
      </c>
      <c r="N42" s="16"/>
      <c r="O42" s="6" t="s">
        <v>35</v>
      </c>
    </row>
    <row r="43" spans="1:16" x14ac:dyDescent="0.3">
      <c r="K43" s="1"/>
      <c r="M43" s="16">
        <v>3</v>
      </c>
      <c r="N43" s="16"/>
      <c r="O43" s="6" t="s">
        <v>36</v>
      </c>
    </row>
    <row r="44" spans="1:16" x14ac:dyDescent="0.3">
      <c r="K44" s="1"/>
      <c r="L44" s="1"/>
      <c r="M44" s="16">
        <v>4</v>
      </c>
      <c r="N44" s="15"/>
      <c r="O44" s="6" t="s">
        <v>37</v>
      </c>
    </row>
    <row r="45" spans="1:16" x14ac:dyDescent="0.3">
      <c r="K45" s="1"/>
      <c r="L45" s="1"/>
      <c r="M45" s="15">
        <v>5</v>
      </c>
      <c r="N45" s="15"/>
      <c r="O45" s="6" t="s">
        <v>38</v>
      </c>
    </row>
    <row r="46" spans="1:16" x14ac:dyDescent="0.3">
      <c r="K46" s="1"/>
      <c r="L46" s="1"/>
      <c r="M46" s="15">
        <v>6</v>
      </c>
      <c r="N46" s="15"/>
      <c r="O46" s="6" t="s">
        <v>39</v>
      </c>
    </row>
    <row r="47" spans="1:16" x14ac:dyDescent="0.3">
      <c r="K47" s="1"/>
      <c r="L47" s="1"/>
      <c r="M47" s="15">
        <v>7</v>
      </c>
      <c r="N47" s="15"/>
      <c r="O47" s="6" t="s">
        <v>40</v>
      </c>
    </row>
    <row r="48" spans="1:16" x14ac:dyDescent="0.3">
      <c r="E48" s="2"/>
      <c r="F48" s="2"/>
      <c r="G48" s="2"/>
      <c r="K48" s="1"/>
      <c r="L48" s="1"/>
      <c r="M48" s="15">
        <v>8</v>
      </c>
      <c r="N48" s="15"/>
      <c r="O48" s="6" t="s">
        <v>41</v>
      </c>
    </row>
    <row r="49" spans="5:15" x14ac:dyDescent="0.3">
      <c r="E49" s="2"/>
      <c r="F49" s="2"/>
      <c r="G49" s="2"/>
      <c r="K49" s="1"/>
      <c r="L49" s="1"/>
      <c r="M49" s="15">
        <v>9</v>
      </c>
      <c r="N49" s="15"/>
      <c r="O49" s="6" t="s">
        <v>42</v>
      </c>
    </row>
    <row r="50" spans="5:15" x14ac:dyDescent="0.3">
      <c r="E50" s="2"/>
      <c r="F50" s="2"/>
      <c r="G50" s="2"/>
      <c r="K50" s="1"/>
      <c r="L50" s="1"/>
      <c r="M50" s="15">
        <v>10</v>
      </c>
      <c r="N50" s="15"/>
      <c r="O50" s="6" t="s">
        <v>43</v>
      </c>
    </row>
    <row r="51" spans="5:15" x14ac:dyDescent="0.3">
      <c r="E51" s="2"/>
      <c r="F51" s="2"/>
      <c r="G51" s="2"/>
      <c r="K51" s="1"/>
      <c r="L51" s="1"/>
      <c r="M51" s="15">
        <v>11</v>
      </c>
      <c r="N51" s="15"/>
      <c r="O51" s="6" t="s">
        <v>44</v>
      </c>
    </row>
    <row r="52" spans="5:15" x14ac:dyDescent="0.3">
      <c r="E52" s="2"/>
      <c r="F52" s="2"/>
      <c r="G52" s="2"/>
      <c r="K52" s="1"/>
      <c r="L52" s="1"/>
      <c r="M52" s="15">
        <v>12</v>
      </c>
      <c r="N52" s="15"/>
      <c r="O52" s="6"/>
    </row>
    <row r="53" spans="5:15" x14ac:dyDescent="0.3">
      <c r="E53" s="2"/>
      <c r="F53" s="2"/>
      <c r="G53" s="2"/>
      <c r="K53" s="1"/>
      <c r="L53" s="1"/>
      <c r="M53" s="15">
        <v>13</v>
      </c>
      <c r="N53" s="15"/>
      <c r="O53" s="6"/>
    </row>
    <row r="54" spans="5:15" x14ac:dyDescent="0.3">
      <c r="E54" s="2"/>
      <c r="F54" s="2"/>
      <c r="G54" s="2"/>
      <c r="K54" s="1"/>
      <c r="L54" s="1"/>
      <c r="M54" s="15">
        <v>14</v>
      </c>
      <c r="N54" s="15"/>
      <c r="O54" s="6"/>
    </row>
    <row r="55" spans="5:15" x14ac:dyDescent="0.3">
      <c r="E55" s="2"/>
      <c r="F55" s="2"/>
      <c r="G55" s="2"/>
      <c r="K55" s="1"/>
      <c r="M55" s="15">
        <v>15</v>
      </c>
      <c r="O55" s="6"/>
    </row>
    <row r="56" spans="5:15" x14ac:dyDescent="0.3">
      <c r="K56" s="1"/>
    </row>
    <row r="57" spans="5:15" x14ac:dyDescent="0.3">
      <c r="K57" s="1"/>
    </row>
    <row r="58" spans="5:15" x14ac:dyDescent="0.3">
      <c r="K58" s="1"/>
    </row>
    <row r="59" spans="5:15" x14ac:dyDescent="0.3">
      <c r="K59" s="1"/>
    </row>
    <row r="60" spans="5:15" x14ac:dyDescent="0.3">
      <c r="K60" s="1" t="str">
        <f>IF(MAESTRO!A21="","",MAESTRO!A21)</f>
        <v/>
      </c>
    </row>
  </sheetData>
  <sheetProtection selectLockedCells="1"/>
  <dataConsolidate/>
  <mergeCells count="48">
    <mergeCell ref="A15:A22"/>
    <mergeCell ref="B27:C27"/>
    <mergeCell ref="B26:C26"/>
    <mergeCell ref="B10:C10"/>
    <mergeCell ref="B11:C11"/>
    <mergeCell ref="B12:C12"/>
    <mergeCell ref="B13:C13"/>
    <mergeCell ref="B14:C14"/>
    <mergeCell ref="G15:G22"/>
    <mergeCell ref="H22:K22"/>
    <mergeCell ref="B24:C24"/>
    <mergeCell ref="B23:C23"/>
    <mergeCell ref="B25:C25"/>
    <mergeCell ref="H25:K25"/>
    <mergeCell ref="H23:K23"/>
    <mergeCell ref="H24:K24"/>
    <mergeCell ref="B15:C22"/>
    <mergeCell ref="D15:D22"/>
    <mergeCell ref="E15:E22"/>
    <mergeCell ref="F15:F22"/>
    <mergeCell ref="A7:K7"/>
    <mergeCell ref="H8:K8"/>
    <mergeCell ref="H9:K9"/>
    <mergeCell ref="A1:B3"/>
    <mergeCell ref="C5:G5"/>
    <mergeCell ref="I5:J5"/>
    <mergeCell ref="J1:K1"/>
    <mergeCell ref="J3:K3"/>
    <mergeCell ref="C1:H3"/>
    <mergeCell ref="B8:C8"/>
    <mergeCell ref="B9:C9"/>
    <mergeCell ref="H10:K10"/>
    <mergeCell ref="H11:K11"/>
    <mergeCell ref="H12:K12"/>
    <mergeCell ref="H13:K13"/>
    <mergeCell ref="H14:K14"/>
    <mergeCell ref="B29:C29"/>
    <mergeCell ref="A30:F30"/>
    <mergeCell ref="G30:K30"/>
    <mergeCell ref="H26:K26"/>
    <mergeCell ref="A34:K35"/>
    <mergeCell ref="C32:D32"/>
    <mergeCell ref="A32:B32"/>
    <mergeCell ref="C31:D31"/>
    <mergeCell ref="A31:B31"/>
    <mergeCell ref="H27:K27"/>
    <mergeCell ref="B28:C28"/>
    <mergeCell ref="H28:K28"/>
  </mergeCells>
  <dataValidations count="4">
    <dataValidation type="list" allowBlank="1" showInputMessage="1" showErrorMessage="1" sqref="D11:D14 D23:D28" xr:uid="{00000000-0002-0000-0000-000000000000}">
      <formula1>$M$33:$M$49</formula1>
    </dataValidation>
    <dataValidation type="list" allowBlank="1" showInputMessage="1" showErrorMessage="1" sqref="D9:D10" xr:uid="{00000000-0002-0000-0000-000001000000}">
      <formula1>$M$33:$M$48</formula1>
    </dataValidation>
    <dataValidation type="list" allowBlank="1" showInputMessage="1" showErrorMessage="1" sqref="D15 E9:F15 E23:F29" xr:uid="{00000000-0002-0000-0000-000002000000}">
      <formula1>$M$41:$M$55</formula1>
    </dataValidation>
    <dataValidation type="list" allowBlank="1" showInputMessage="1" showErrorMessage="1" sqref="C5:G5" xr:uid="{00000000-0002-0000-0000-000003000000}">
      <formula1>$Q$3:$Q$22</formula1>
    </dataValidation>
  </dataValidations>
  <pageMargins left="0.39370078740157483" right="0.39370078740157483" top="0.59055118110236227" bottom="0.59055118110236227" header="0.31496062992125984" footer="0.31496062992125984"/>
  <pageSetup scale="69" orientation="portrait" r:id="rId1"/>
  <headerFooter>
    <oddFooter>&amp;RPág. &amp;P -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U60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bestFit="1" customWidth="1" collapsed="1"/>
    <col min="12" max="12" width="14.44140625" style="2" hidden="1" customWidth="1" collapsed="1"/>
    <col min="13" max="14" width="11.44140625" style="6" hidden="1" customWidth="1" collapsed="1"/>
    <col min="15" max="16" width="11.44140625" style="2" hidden="1" customWidth="1" collapsed="1"/>
    <col min="17" max="20" width="11.44140625" style="2" collapsed="1"/>
    <col min="21" max="21" width="12.88671875" style="2" hidden="1" customWidth="1" collapsed="1"/>
    <col min="22" max="25" width="0" style="2" hidden="1" customWidth="1" collapsed="1"/>
    <col min="26" max="16384" width="11.44140625" style="2" collapsed="1"/>
  </cols>
  <sheetData>
    <row r="1" spans="1:21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80" t="s">
        <v>47</v>
      </c>
      <c r="K1" s="180"/>
      <c r="P1" s="78" t="s">
        <v>109</v>
      </c>
    </row>
    <row r="2" spans="1:21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P2" s="78" t="s">
        <v>110</v>
      </c>
    </row>
    <row r="3" spans="1:21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P3" s="78" t="s">
        <v>111</v>
      </c>
    </row>
    <row r="4" spans="1:21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P4" s="78" t="s">
        <v>112</v>
      </c>
    </row>
    <row r="5" spans="1:21" ht="15.75" customHeight="1" x14ac:dyDescent="0.3">
      <c r="A5" s="3"/>
      <c r="B5" s="13" t="s">
        <v>30</v>
      </c>
      <c r="C5" s="136" t="s">
        <v>111</v>
      </c>
      <c r="D5" s="136"/>
      <c r="E5" s="136"/>
      <c r="F5" s="136"/>
      <c r="G5" s="136"/>
      <c r="H5" s="13" t="s">
        <v>0</v>
      </c>
      <c r="I5" s="137">
        <v>46157</v>
      </c>
      <c r="J5" s="137"/>
      <c r="P5" s="78" t="s">
        <v>113</v>
      </c>
    </row>
    <row r="6" spans="1:21" ht="15.75" customHeight="1" x14ac:dyDescent="0.3">
      <c r="A6" s="18"/>
      <c r="E6" s="19"/>
      <c r="F6" s="19"/>
      <c r="G6" s="11"/>
      <c r="P6" s="78" t="s">
        <v>114</v>
      </c>
    </row>
    <row r="7" spans="1:21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P7" s="78" t="s">
        <v>115</v>
      </c>
    </row>
    <row r="8" spans="1:21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M8" s="2"/>
      <c r="N8" s="2"/>
      <c r="P8" s="78" t="s">
        <v>116</v>
      </c>
    </row>
    <row r="9" spans="1:21" ht="18" customHeight="1" x14ac:dyDescent="0.3">
      <c r="A9" s="29">
        <v>1</v>
      </c>
      <c r="B9" s="153" t="s">
        <v>27</v>
      </c>
      <c r="C9" s="154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P9" s="78" t="s">
        <v>117</v>
      </c>
      <c r="U9" s="87" t="s">
        <v>2</v>
      </c>
    </row>
    <row r="10" spans="1:21" ht="18" customHeight="1" x14ac:dyDescent="0.3">
      <c r="A10" s="29">
        <v>2</v>
      </c>
      <c r="B10" s="153" t="s">
        <v>26</v>
      </c>
      <c r="C10" s="154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P10" s="78" t="s">
        <v>118</v>
      </c>
      <c r="U10" s="87" t="s">
        <v>46</v>
      </c>
    </row>
    <row r="11" spans="1:21" ht="18" customHeight="1" x14ac:dyDescent="0.3">
      <c r="A11" s="29">
        <v>3</v>
      </c>
      <c r="B11" s="153" t="s">
        <v>29</v>
      </c>
      <c r="C11" s="154"/>
      <c r="D11" s="28">
        <v>4</v>
      </c>
      <c r="E11" s="7">
        <v>4</v>
      </c>
      <c r="F11" s="7">
        <v>4</v>
      </c>
      <c r="G11" s="22">
        <f t="shared" si="0"/>
        <v>1</v>
      </c>
      <c r="H11" s="130"/>
      <c r="I11" s="130"/>
      <c r="J11" s="130"/>
      <c r="K11" s="130"/>
      <c r="P11" s="78" t="s">
        <v>119</v>
      </c>
      <c r="U11" s="87" t="s">
        <v>92</v>
      </c>
    </row>
    <row r="12" spans="1:21" ht="18" customHeight="1" x14ac:dyDescent="0.3">
      <c r="A12" s="29">
        <v>4</v>
      </c>
      <c r="B12" s="153" t="s">
        <v>28</v>
      </c>
      <c r="C12" s="154"/>
      <c r="D12" s="28">
        <v>4</v>
      </c>
      <c r="E12" s="7">
        <v>4</v>
      </c>
      <c r="F12" s="7">
        <v>4</v>
      </c>
      <c r="G12" s="22">
        <f t="shared" si="0"/>
        <v>1</v>
      </c>
      <c r="H12" s="130"/>
      <c r="I12" s="130"/>
      <c r="J12" s="130"/>
      <c r="K12" s="130"/>
      <c r="P12" s="78" t="s">
        <v>120</v>
      </c>
      <c r="U12" s="87" t="s">
        <v>12</v>
      </c>
    </row>
    <row r="13" spans="1:21" ht="18" customHeight="1" x14ac:dyDescent="0.3">
      <c r="A13" s="29">
        <v>5</v>
      </c>
      <c r="B13" s="153" t="s">
        <v>20</v>
      </c>
      <c r="C13" s="154"/>
      <c r="D13" s="28">
        <v>4</v>
      </c>
      <c r="E13" s="7">
        <v>4</v>
      </c>
      <c r="F13" s="7">
        <v>4</v>
      </c>
      <c r="G13" s="22">
        <f t="shared" si="0"/>
        <v>1</v>
      </c>
      <c r="H13" s="130"/>
      <c r="I13" s="130"/>
      <c r="J13" s="130"/>
      <c r="K13" s="130"/>
      <c r="P13" s="78" t="s">
        <v>121</v>
      </c>
      <c r="U13" s="87" t="s">
        <v>45</v>
      </c>
    </row>
    <row r="14" spans="1:21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P14" s="78" t="s">
        <v>122</v>
      </c>
      <c r="U14" s="87" t="s">
        <v>11</v>
      </c>
    </row>
    <row r="15" spans="1:21" ht="18" customHeight="1" x14ac:dyDescent="0.3">
      <c r="A15" s="173">
        <v>7</v>
      </c>
      <c r="B15" s="161" t="s">
        <v>22</v>
      </c>
      <c r="C15" s="162"/>
      <c r="D15" s="167">
        <v>4</v>
      </c>
      <c r="E15" s="170">
        <v>4</v>
      </c>
      <c r="F15" s="170">
        <v>4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46"/>
      <c r="J15" s="51" t="s">
        <v>60</v>
      </c>
      <c r="K15" s="46"/>
      <c r="P15" s="78" t="s">
        <v>123</v>
      </c>
      <c r="U15" s="87" t="s">
        <v>93</v>
      </c>
    </row>
    <row r="16" spans="1:21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2"/>
      <c r="J16" s="51" t="s">
        <v>60</v>
      </c>
      <c r="K16" s="46"/>
      <c r="M16" s="2"/>
      <c r="N16" s="2"/>
      <c r="P16" s="78" t="s">
        <v>124</v>
      </c>
      <c r="U16" s="87" t="s">
        <v>94</v>
      </c>
    </row>
    <row r="17" spans="1:21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2"/>
      <c r="J17" s="51" t="s">
        <v>60</v>
      </c>
      <c r="K17" s="46"/>
      <c r="M17" s="2"/>
      <c r="N17" s="2"/>
      <c r="P17" s="78" t="s">
        <v>125</v>
      </c>
      <c r="U17" s="87" t="s">
        <v>13</v>
      </c>
    </row>
    <row r="18" spans="1:21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62"/>
      <c r="J18" s="51" t="s">
        <v>60</v>
      </c>
      <c r="K18" s="46"/>
      <c r="M18" s="2"/>
      <c r="N18" s="2"/>
      <c r="P18" s="78" t="s">
        <v>126</v>
      </c>
      <c r="U18" s="87" t="s">
        <v>6</v>
      </c>
    </row>
    <row r="19" spans="1:21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46"/>
      <c r="J19" s="51" t="s">
        <v>60</v>
      </c>
      <c r="K19" s="46"/>
      <c r="M19" s="2"/>
      <c r="N19" s="2"/>
      <c r="P19" s="78" t="s">
        <v>127</v>
      </c>
      <c r="U19" s="87" t="s">
        <v>76</v>
      </c>
    </row>
    <row r="20" spans="1:21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5"/>
      <c r="J20" s="51" t="s">
        <v>60</v>
      </c>
      <c r="K20" s="46"/>
      <c r="M20" s="2"/>
      <c r="N20" s="2"/>
      <c r="P20" s="78" t="s">
        <v>128</v>
      </c>
      <c r="U20" s="87" t="s">
        <v>7</v>
      </c>
    </row>
    <row r="21" spans="1:21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U21" s="87" t="s">
        <v>95</v>
      </c>
    </row>
    <row r="22" spans="1:21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U22" s="87" t="s">
        <v>96</v>
      </c>
    </row>
    <row r="23" spans="1:21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U23" s="87" t="s">
        <v>97</v>
      </c>
    </row>
    <row r="24" spans="1:21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U24" s="87" t="s">
        <v>98</v>
      </c>
    </row>
    <row r="25" spans="1:21" ht="18" customHeight="1" x14ac:dyDescent="0.3">
      <c r="A25" s="29">
        <v>10</v>
      </c>
      <c r="B25" s="153" t="s">
        <v>8</v>
      </c>
      <c r="C25" s="154"/>
      <c r="D25" s="28">
        <v>4</v>
      </c>
      <c r="E25" s="7">
        <v>4</v>
      </c>
      <c r="F25" s="7">
        <v>4</v>
      </c>
      <c r="G25" s="22">
        <f t="shared" si="0"/>
        <v>1</v>
      </c>
      <c r="H25" s="130"/>
      <c r="I25" s="130"/>
      <c r="J25" s="130"/>
      <c r="K25" s="130"/>
      <c r="M25" s="2"/>
      <c r="N25" s="2"/>
      <c r="U25" s="87" t="s">
        <v>99</v>
      </c>
    </row>
    <row r="26" spans="1:21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U26" s="87" t="s">
        <v>100</v>
      </c>
    </row>
    <row r="27" spans="1:21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U27" s="87" t="s">
        <v>101</v>
      </c>
    </row>
    <row r="28" spans="1:21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21" ht="18" customHeight="1" thickBot="1" x14ac:dyDescent="0.35">
      <c r="A29" s="29">
        <v>14</v>
      </c>
      <c r="B29" s="192" t="s">
        <v>68</v>
      </c>
      <c r="C29" s="193"/>
      <c r="D29" s="28">
        <v>4</v>
      </c>
      <c r="E29" s="7">
        <v>4</v>
      </c>
      <c r="F29" s="7">
        <v>4</v>
      </c>
      <c r="G29" s="22">
        <f t="shared" si="0"/>
        <v>1</v>
      </c>
      <c r="H29" s="130"/>
      <c r="I29" s="130"/>
      <c r="J29" s="130"/>
      <c r="K29" s="130"/>
    </row>
    <row r="30" spans="1:21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IFERROR(AVERAGE(G10:G29),"-")</f>
        <v>1</v>
      </c>
      <c r="H30" s="190"/>
      <c r="I30" s="190"/>
      <c r="J30" s="190"/>
      <c r="K30" s="191"/>
    </row>
    <row r="31" spans="1:21" ht="28.5" customHeight="1" x14ac:dyDescent="0.3">
      <c r="A31" s="182" t="s">
        <v>57</v>
      </c>
      <c r="B31" s="182"/>
      <c r="C31" s="183"/>
      <c r="D31" s="183"/>
      <c r="E31" s="38"/>
      <c r="F31" s="38"/>
      <c r="G31" s="24"/>
      <c r="H31" s="25"/>
      <c r="I31" s="26"/>
      <c r="J31" s="25"/>
    </row>
    <row r="32" spans="1:21" x14ac:dyDescent="0.3">
      <c r="A32" s="182" t="s">
        <v>59</v>
      </c>
      <c r="B32" s="182"/>
      <c r="C32" s="122"/>
      <c r="D32" s="123"/>
      <c r="E32" s="39"/>
      <c r="F32" s="39"/>
      <c r="G32" s="27"/>
      <c r="H32" s="26"/>
      <c r="I32" s="26"/>
      <c r="J32" s="25"/>
    </row>
    <row r="33" spans="1:16" x14ac:dyDescent="0.3">
      <c r="A33" s="40"/>
      <c r="B33" s="40"/>
      <c r="C33" s="41"/>
      <c r="D33" s="41"/>
      <c r="E33" s="39"/>
      <c r="F33" s="39"/>
      <c r="G33" s="27"/>
      <c r="H33" s="26"/>
      <c r="I33" s="26"/>
      <c r="J33" s="25"/>
    </row>
    <row r="34" spans="1:16" x14ac:dyDescent="0.3">
      <c r="A34" s="181" t="s">
        <v>56</v>
      </c>
      <c r="B34" s="181"/>
      <c r="C34" s="181"/>
      <c r="D34" s="181"/>
      <c r="E34" s="181"/>
      <c r="F34" s="181"/>
      <c r="G34" s="181"/>
      <c r="H34" s="181"/>
      <c r="I34" s="181"/>
      <c r="J34" s="181"/>
      <c r="K34" s="181"/>
    </row>
    <row r="35" spans="1:16" x14ac:dyDescent="0.3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M35" s="2"/>
      <c r="N35" s="2"/>
    </row>
    <row r="36" spans="1:16" x14ac:dyDescent="0.3">
      <c r="M36" s="2"/>
      <c r="N36" s="2"/>
    </row>
    <row r="37" spans="1:16" x14ac:dyDescent="0.3">
      <c r="M37" s="2"/>
      <c r="N37" s="2"/>
    </row>
    <row r="38" spans="1:16" ht="28.8" x14ac:dyDescent="0.3">
      <c r="L38" s="5" t="s">
        <v>15</v>
      </c>
      <c r="M38" s="21" t="s">
        <v>52</v>
      </c>
      <c r="N38" s="21" t="s">
        <v>51</v>
      </c>
      <c r="O38" s="42" t="s">
        <v>32</v>
      </c>
    </row>
    <row r="39" spans="1:16" ht="15.6" x14ac:dyDescent="0.3">
      <c r="K39" s="5"/>
      <c r="L39" s="8" t="s">
        <v>16</v>
      </c>
      <c r="M39" s="6">
        <v>0</v>
      </c>
      <c r="N39" s="44" t="s">
        <v>16</v>
      </c>
      <c r="O39" s="6" t="s">
        <v>33</v>
      </c>
      <c r="P39" s="10"/>
    </row>
    <row r="40" spans="1:16" x14ac:dyDescent="0.3">
      <c r="K40" s="1"/>
      <c r="L40" s="43" t="s">
        <v>17</v>
      </c>
      <c r="M40" s="15">
        <v>1</v>
      </c>
      <c r="N40" s="43" t="s">
        <v>17</v>
      </c>
      <c r="O40" s="6" t="s">
        <v>34</v>
      </c>
    </row>
    <row r="41" spans="1:16" x14ac:dyDescent="0.3">
      <c r="K41" s="1"/>
      <c r="M41" s="16">
        <v>2</v>
      </c>
      <c r="N41" s="16"/>
      <c r="O41" s="6" t="s">
        <v>35</v>
      </c>
    </row>
    <row r="42" spans="1:16" x14ac:dyDescent="0.3">
      <c r="K42" s="1"/>
      <c r="M42" s="16">
        <v>3</v>
      </c>
      <c r="N42" s="16"/>
      <c r="O42" s="6" t="s">
        <v>36</v>
      </c>
    </row>
    <row r="43" spans="1:16" x14ac:dyDescent="0.3">
      <c r="K43" s="1"/>
      <c r="L43" s="1"/>
      <c r="M43" s="16">
        <v>4</v>
      </c>
      <c r="N43" s="15"/>
      <c r="O43" s="6" t="s">
        <v>37</v>
      </c>
    </row>
    <row r="44" spans="1:16" x14ac:dyDescent="0.3">
      <c r="K44" s="1"/>
      <c r="L44" s="1"/>
      <c r="M44" s="15">
        <v>5</v>
      </c>
      <c r="N44" s="15"/>
      <c r="O44" s="6" t="s">
        <v>38</v>
      </c>
    </row>
    <row r="45" spans="1:16" x14ac:dyDescent="0.3">
      <c r="K45" s="1"/>
      <c r="L45" s="1"/>
      <c r="M45" s="15">
        <v>6</v>
      </c>
      <c r="N45" s="15"/>
      <c r="O45" s="6" t="s">
        <v>39</v>
      </c>
    </row>
    <row r="46" spans="1:16" x14ac:dyDescent="0.3">
      <c r="K46" s="1"/>
      <c r="L46" s="1"/>
      <c r="M46" s="15">
        <v>7</v>
      </c>
      <c r="N46" s="15"/>
      <c r="O46" s="6" t="s">
        <v>40</v>
      </c>
    </row>
    <row r="47" spans="1:16" x14ac:dyDescent="0.3">
      <c r="K47" s="1"/>
      <c r="L47" s="1"/>
      <c r="M47" s="15">
        <v>8</v>
      </c>
      <c r="N47" s="15"/>
      <c r="O47" s="6" t="s">
        <v>41</v>
      </c>
    </row>
    <row r="48" spans="1:16" x14ac:dyDescent="0.3">
      <c r="E48" s="2"/>
      <c r="F48" s="2"/>
      <c r="G48" s="2"/>
      <c r="K48" s="1"/>
      <c r="L48" s="1"/>
      <c r="M48" s="15">
        <v>9</v>
      </c>
      <c r="N48" s="15"/>
      <c r="O48" s="6" t="s">
        <v>42</v>
      </c>
    </row>
    <row r="49" spans="5:15" x14ac:dyDescent="0.3">
      <c r="E49" s="2"/>
      <c r="F49" s="2"/>
      <c r="G49" s="2"/>
      <c r="K49" s="1"/>
      <c r="L49" s="1"/>
      <c r="M49" s="15">
        <v>10</v>
      </c>
      <c r="N49" s="15"/>
      <c r="O49" s="6" t="s">
        <v>43</v>
      </c>
    </row>
    <row r="50" spans="5:15" x14ac:dyDescent="0.3">
      <c r="E50" s="2"/>
      <c r="F50" s="2"/>
      <c r="G50" s="2"/>
      <c r="K50" s="1"/>
      <c r="L50" s="1"/>
      <c r="M50" s="15">
        <v>11</v>
      </c>
      <c r="N50" s="15"/>
      <c r="O50" s="6" t="s">
        <v>44</v>
      </c>
    </row>
    <row r="51" spans="5:15" x14ac:dyDescent="0.3">
      <c r="E51" s="2"/>
      <c r="F51" s="2"/>
      <c r="G51" s="2"/>
      <c r="K51" s="1"/>
      <c r="L51" s="1"/>
      <c r="M51" s="15">
        <v>12</v>
      </c>
      <c r="N51" s="15"/>
      <c r="O51" s="6"/>
    </row>
    <row r="52" spans="5:15" x14ac:dyDescent="0.3">
      <c r="E52" s="2"/>
      <c r="F52" s="2"/>
      <c r="G52" s="2"/>
      <c r="K52" s="1"/>
      <c r="L52" s="1"/>
      <c r="M52" s="15">
        <v>13</v>
      </c>
      <c r="N52" s="15"/>
      <c r="O52" s="6"/>
    </row>
    <row r="53" spans="5:15" x14ac:dyDescent="0.3">
      <c r="E53" s="2"/>
      <c r="F53" s="2"/>
      <c r="G53" s="2"/>
      <c r="K53" s="1"/>
      <c r="L53" s="1"/>
      <c r="M53" s="15">
        <v>14</v>
      </c>
      <c r="N53" s="15"/>
      <c r="O53" s="6"/>
    </row>
    <row r="54" spans="5:15" x14ac:dyDescent="0.3">
      <c r="E54" s="2"/>
      <c r="F54" s="2"/>
      <c r="G54" s="2"/>
      <c r="K54" s="1"/>
      <c r="M54" s="15">
        <v>15</v>
      </c>
      <c r="O54" s="6"/>
    </row>
    <row r="55" spans="5:15" x14ac:dyDescent="0.3">
      <c r="E55" s="2"/>
      <c r="F55" s="2"/>
      <c r="G55" s="2"/>
      <c r="K55" s="1"/>
    </row>
    <row r="56" spans="5:15" x14ac:dyDescent="0.3">
      <c r="K56" s="1"/>
    </row>
    <row r="57" spans="5:15" x14ac:dyDescent="0.3">
      <c r="K57" s="1"/>
    </row>
    <row r="58" spans="5:15" x14ac:dyDescent="0.3">
      <c r="K58" s="1"/>
    </row>
    <row r="59" spans="5:15" x14ac:dyDescent="0.3">
      <c r="K59" s="1" t="str">
        <f>IF(MAESTRO!A20="","",MAESTRO!A20)</f>
        <v/>
      </c>
    </row>
    <row r="60" spans="5:15" x14ac:dyDescent="0.3">
      <c r="K60" s="1" t="str">
        <f>IF(MAESTRO!A21="","",MAESTRO!A21)</f>
        <v/>
      </c>
    </row>
  </sheetData>
  <sheetProtection selectLockedCells="1"/>
  <dataConsolidate/>
  <mergeCells count="49">
    <mergeCell ref="A34:K35"/>
    <mergeCell ref="A15:A22"/>
    <mergeCell ref="A31:B31"/>
    <mergeCell ref="C31:D31"/>
    <mergeCell ref="A32:B32"/>
    <mergeCell ref="C32:D32"/>
    <mergeCell ref="B28:C28"/>
    <mergeCell ref="H28:K28"/>
    <mergeCell ref="A30:F30"/>
    <mergeCell ref="G30:K30"/>
    <mergeCell ref="B27:C27"/>
    <mergeCell ref="H27:K27"/>
    <mergeCell ref="B29:C29"/>
    <mergeCell ref="H29:K29"/>
    <mergeCell ref="B25:C25"/>
    <mergeCell ref="H25:K25"/>
    <mergeCell ref="H23:K23"/>
    <mergeCell ref="H24:K24"/>
    <mergeCell ref="B15:C22"/>
    <mergeCell ref="D15:D22"/>
    <mergeCell ref="E15:E22"/>
    <mergeCell ref="F15:F22"/>
    <mergeCell ref="A1:B3"/>
    <mergeCell ref="C5:G5"/>
    <mergeCell ref="I5:J5"/>
    <mergeCell ref="J1:K1"/>
    <mergeCell ref="J3:K3"/>
    <mergeCell ref="C1:H3"/>
    <mergeCell ref="B8:C8"/>
    <mergeCell ref="B9:C9"/>
    <mergeCell ref="A7:K7"/>
    <mergeCell ref="H8:K8"/>
    <mergeCell ref="H9:K9"/>
    <mergeCell ref="B26:C26"/>
    <mergeCell ref="H26:K26"/>
    <mergeCell ref="B10:C10"/>
    <mergeCell ref="B12:C12"/>
    <mergeCell ref="B13:C13"/>
    <mergeCell ref="B11:C11"/>
    <mergeCell ref="B14:C14"/>
    <mergeCell ref="H10:K10"/>
    <mergeCell ref="H11:K11"/>
    <mergeCell ref="H12:K12"/>
    <mergeCell ref="H13:K13"/>
    <mergeCell ref="H14:K14"/>
    <mergeCell ref="G15:G22"/>
    <mergeCell ref="H22:K22"/>
    <mergeCell ref="B24:C24"/>
    <mergeCell ref="B23:C23"/>
  </mergeCells>
  <dataValidations count="4">
    <dataValidation type="list" allowBlank="1" showInputMessage="1" showErrorMessage="1" sqref="D9" xr:uid="{00000000-0002-0000-0100-000000000000}">
      <formula1>$M$32:$M$47</formula1>
    </dataValidation>
    <dataValidation type="list" allowBlank="1" showInputMessage="1" showErrorMessage="1" sqref="D10:D14 E26:F26 D23:D29" xr:uid="{00000000-0002-0000-0100-000001000000}">
      <formula1>$M$32:$M$48</formula1>
    </dataValidation>
    <dataValidation type="list" allowBlank="1" showInputMessage="1" showErrorMessage="1" sqref="D15 E27:F29 E23:F25 E9:F15" xr:uid="{00000000-0002-0000-0100-000002000000}">
      <formula1>$M$40:$M$54</formula1>
    </dataValidation>
    <dataValidation type="list" allowBlank="1" showInputMessage="1" showErrorMessage="1" sqref="C5:G5" xr:uid="{00000000-0002-0000-0100-000003000000}">
      <formula1>$P$3:$P$20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62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customWidth="1" collapsed="1"/>
    <col min="12" max="12" width="14.44140625" style="2" customWidth="1" collapsed="1"/>
    <col min="13" max="13" width="11.44140625" style="6" customWidth="1" collapsed="1"/>
    <col min="14" max="14" width="9" style="6" hidden="1" customWidth="1" collapsed="1"/>
    <col min="15" max="15" width="11.44140625" style="2" hidden="1" customWidth="1" collapsed="1"/>
    <col min="16" max="20" width="11.44140625" style="2" customWidth="1" collapsed="1"/>
    <col min="21" max="16384" width="11.44140625" style="2" collapsed="1"/>
  </cols>
  <sheetData>
    <row r="1" spans="1:15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4" t="s">
        <v>47</v>
      </c>
      <c r="K1" s="180"/>
      <c r="L1" s="78"/>
    </row>
    <row r="2" spans="1:15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/>
    </row>
    <row r="3" spans="1:15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/>
    </row>
    <row r="4" spans="1:15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/>
    </row>
    <row r="5" spans="1:15" ht="15.75" customHeight="1" x14ac:dyDescent="0.3">
      <c r="A5" s="3"/>
      <c r="B5" s="13" t="s">
        <v>30</v>
      </c>
      <c r="C5" s="136" t="s">
        <v>110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/>
    </row>
    <row r="6" spans="1:15" ht="15.75" customHeight="1" x14ac:dyDescent="0.3">
      <c r="A6" s="18"/>
      <c r="E6" s="19"/>
      <c r="F6" s="19"/>
      <c r="G6" s="11"/>
      <c r="L6" s="78"/>
    </row>
    <row r="7" spans="1:15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/>
    </row>
    <row r="8" spans="1:15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/>
      <c r="M8" s="2"/>
      <c r="N8" s="2"/>
    </row>
    <row r="9" spans="1:15" ht="18" customHeight="1" x14ac:dyDescent="0.3">
      <c r="A9" s="29">
        <v>1</v>
      </c>
      <c r="B9" s="153" t="s">
        <v>27</v>
      </c>
      <c r="C9" s="154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/>
      <c r="O9" s="78" t="s">
        <v>109</v>
      </c>
    </row>
    <row r="10" spans="1:15" ht="18" customHeight="1" x14ac:dyDescent="0.3">
      <c r="A10" s="29">
        <v>2</v>
      </c>
      <c r="B10" s="153" t="s">
        <v>26</v>
      </c>
      <c r="C10" s="154"/>
      <c r="D10" s="28">
        <v>3</v>
      </c>
      <c r="E10" s="7">
        <v>3</v>
      </c>
      <c r="F10" s="7">
        <v>3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/>
      <c r="O10" s="78" t="s">
        <v>110</v>
      </c>
    </row>
    <row r="11" spans="1:15" ht="18" customHeight="1" x14ac:dyDescent="0.3">
      <c r="A11" s="29">
        <v>3</v>
      </c>
      <c r="B11" s="153" t="s">
        <v>29</v>
      </c>
      <c r="C11" s="154"/>
      <c r="D11" s="28">
        <v>3</v>
      </c>
      <c r="E11" s="7">
        <v>3</v>
      </c>
      <c r="F11" s="7">
        <v>3</v>
      </c>
      <c r="G11" s="22">
        <f t="shared" si="0"/>
        <v>1</v>
      </c>
      <c r="H11" s="130"/>
      <c r="I11" s="130"/>
      <c r="J11" s="130"/>
      <c r="K11" s="130"/>
      <c r="L11" s="78"/>
      <c r="O11" s="78" t="s">
        <v>111</v>
      </c>
    </row>
    <row r="12" spans="1:15" ht="18" customHeight="1" x14ac:dyDescent="0.3">
      <c r="A12" s="29">
        <v>4</v>
      </c>
      <c r="B12" s="153" t="s">
        <v>28</v>
      </c>
      <c r="C12" s="154"/>
      <c r="D12" s="28">
        <v>3</v>
      </c>
      <c r="E12" s="7">
        <v>3</v>
      </c>
      <c r="F12" s="7">
        <v>3</v>
      </c>
      <c r="G12" s="22">
        <f t="shared" si="0"/>
        <v>1</v>
      </c>
      <c r="H12" s="130"/>
      <c r="I12" s="130"/>
      <c r="J12" s="130"/>
      <c r="K12" s="130"/>
      <c r="L12" s="78"/>
      <c r="O12" s="78" t="s">
        <v>112</v>
      </c>
    </row>
    <row r="13" spans="1:15" ht="18" customHeight="1" x14ac:dyDescent="0.3">
      <c r="A13" s="29">
        <v>5</v>
      </c>
      <c r="B13" s="153" t="s">
        <v>20</v>
      </c>
      <c r="C13" s="154"/>
      <c r="D13" s="28">
        <v>3</v>
      </c>
      <c r="E13" s="7">
        <v>3</v>
      </c>
      <c r="F13" s="7">
        <v>3</v>
      </c>
      <c r="G13" s="22">
        <f t="shared" si="0"/>
        <v>1</v>
      </c>
      <c r="H13" s="130"/>
      <c r="I13" s="130"/>
      <c r="J13" s="130"/>
      <c r="K13" s="130"/>
      <c r="L13" s="78"/>
      <c r="O13" s="78" t="s">
        <v>113</v>
      </c>
    </row>
    <row r="14" spans="1:15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/>
      <c r="O14" s="78" t="s">
        <v>114</v>
      </c>
    </row>
    <row r="15" spans="1:15" ht="18" customHeight="1" x14ac:dyDescent="0.3">
      <c r="A15" s="173">
        <v>7</v>
      </c>
      <c r="B15" s="161" t="s">
        <v>22</v>
      </c>
      <c r="C15" s="162"/>
      <c r="D15" s="167">
        <v>3</v>
      </c>
      <c r="E15" s="170">
        <v>3</v>
      </c>
      <c r="F15" s="170">
        <v>3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46"/>
      <c r="J15" s="51" t="s">
        <v>60</v>
      </c>
      <c r="K15" s="46"/>
      <c r="L15" s="78"/>
      <c r="O15" s="78" t="s">
        <v>115</v>
      </c>
    </row>
    <row r="16" spans="1:15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3"/>
      <c r="J16" s="51" t="s">
        <v>60</v>
      </c>
      <c r="K16" s="46"/>
      <c r="L16" s="78"/>
      <c r="M16" s="2"/>
      <c r="N16" s="2"/>
      <c r="O16" s="78" t="s">
        <v>116</v>
      </c>
    </row>
    <row r="17" spans="1:15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3"/>
      <c r="J17" s="51" t="s">
        <v>60</v>
      </c>
      <c r="K17" s="46"/>
      <c r="L17" s="78"/>
      <c r="M17" s="2"/>
      <c r="N17" s="2"/>
      <c r="O17" s="78" t="s">
        <v>117</v>
      </c>
    </row>
    <row r="18" spans="1:15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63"/>
      <c r="J18" s="51" t="s">
        <v>60</v>
      </c>
      <c r="K18" s="46"/>
      <c r="L18" s="78"/>
      <c r="M18" s="2"/>
      <c r="N18" s="2"/>
      <c r="O18" s="78" t="s">
        <v>118</v>
      </c>
    </row>
    <row r="19" spans="1:15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64"/>
      <c r="J19" s="51" t="s">
        <v>60</v>
      </c>
      <c r="K19" s="46"/>
      <c r="L19" s="78"/>
      <c r="M19" s="2"/>
      <c r="N19" s="2"/>
      <c r="O19" s="78" t="s">
        <v>119</v>
      </c>
    </row>
    <row r="20" spans="1:15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5"/>
      <c r="J20" s="51" t="s">
        <v>60</v>
      </c>
      <c r="K20" s="46"/>
      <c r="L20" s="78"/>
      <c r="M20" s="2"/>
      <c r="N20" s="2"/>
      <c r="O20" s="78" t="s">
        <v>120</v>
      </c>
    </row>
    <row r="21" spans="1:15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O21" s="78" t="s">
        <v>121</v>
      </c>
    </row>
    <row r="22" spans="1:15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O22" s="78" t="s">
        <v>122</v>
      </c>
    </row>
    <row r="23" spans="1:15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O23" s="78" t="s">
        <v>123</v>
      </c>
    </row>
    <row r="24" spans="1:15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O24" s="78" t="s">
        <v>124</v>
      </c>
    </row>
    <row r="25" spans="1:15" ht="18" customHeight="1" x14ac:dyDescent="0.3">
      <c r="A25" s="29">
        <v>10</v>
      </c>
      <c r="B25" s="153" t="s">
        <v>8</v>
      </c>
      <c r="C25" s="154"/>
      <c r="D25" s="28">
        <v>3</v>
      </c>
      <c r="E25" s="7">
        <v>3</v>
      </c>
      <c r="F25" s="7">
        <v>3</v>
      </c>
      <c r="G25" s="22">
        <f t="shared" si="0"/>
        <v>1</v>
      </c>
      <c r="H25" s="113"/>
      <c r="I25" s="114"/>
      <c r="J25" s="114"/>
      <c r="K25" s="115"/>
      <c r="M25" s="2"/>
      <c r="N25" s="2"/>
      <c r="O25" s="78" t="s">
        <v>125</v>
      </c>
    </row>
    <row r="26" spans="1:15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O26" s="78" t="s">
        <v>126</v>
      </c>
    </row>
    <row r="27" spans="1:15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13"/>
      <c r="I27" s="114"/>
      <c r="J27" s="114"/>
      <c r="K27" s="115"/>
      <c r="O27" s="78" t="s">
        <v>127</v>
      </c>
    </row>
    <row r="28" spans="1:15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  <c r="O28" s="78" t="s">
        <v>128</v>
      </c>
    </row>
    <row r="29" spans="1:15" ht="18" customHeight="1" thickBot="1" x14ac:dyDescent="0.35">
      <c r="A29" s="29">
        <v>14</v>
      </c>
      <c r="B29" s="192" t="s">
        <v>68</v>
      </c>
      <c r="C29" s="193"/>
      <c r="D29" s="28">
        <v>3</v>
      </c>
      <c r="E29" s="7">
        <v>3</v>
      </c>
      <c r="F29" s="7">
        <v>3</v>
      </c>
      <c r="G29" s="22">
        <f t="shared" si="0"/>
        <v>1</v>
      </c>
      <c r="H29" s="130"/>
      <c r="I29" s="130"/>
      <c r="J29" s="130"/>
      <c r="K29" s="130"/>
    </row>
    <row r="30" spans="1:15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5" ht="17.25" customHeight="1" x14ac:dyDescent="0.3">
      <c r="A31" s="34"/>
      <c r="E31" s="17"/>
      <c r="F31" s="35"/>
      <c r="G31" s="36"/>
      <c r="H31" s="25"/>
      <c r="I31" s="37"/>
      <c r="J31" s="23"/>
    </row>
    <row r="32" spans="1:15" ht="28.5" customHeight="1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  <row r="62" spans="5:15" x14ac:dyDescent="0.3">
      <c r="K62" s="1"/>
    </row>
  </sheetData>
  <sheetProtection selectLockedCells="1"/>
  <dataConsolidate/>
  <mergeCells count="49">
    <mergeCell ref="A35:K36"/>
    <mergeCell ref="A32:B32"/>
    <mergeCell ref="C32:D32"/>
    <mergeCell ref="A33:B33"/>
    <mergeCell ref="C33:D33"/>
    <mergeCell ref="H11:K11"/>
    <mergeCell ref="H12:K12"/>
    <mergeCell ref="H13:K13"/>
    <mergeCell ref="H14:K14"/>
    <mergeCell ref="B12:C12"/>
    <mergeCell ref="B13:C13"/>
    <mergeCell ref="B11:C11"/>
    <mergeCell ref="B14:C14"/>
    <mergeCell ref="A15:A22"/>
    <mergeCell ref="B23:C23"/>
    <mergeCell ref="B15:C22"/>
    <mergeCell ref="E15:E22"/>
    <mergeCell ref="F15:F22"/>
    <mergeCell ref="H23:K23"/>
    <mergeCell ref="H24:K24"/>
    <mergeCell ref="D15:D22"/>
    <mergeCell ref="G15:G22"/>
    <mergeCell ref="H22:K22"/>
    <mergeCell ref="J1:K1"/>
    <mergeCell ref="J3:K3"/>
    <mergeCell ref="C1:H3"/>
    <mergeCell ref="B10:C10"/>
    <mergeCell ref="A1:B3"/>
    <mergeCell ref="B9:C9"/>
    <mergeCell ref="C5:G5"/>
    <mergeCell ref="I5:J5"/>
    <mergeCell ref="B8:C8"/>
    <mergeCell ref="A7:K7"/>
    <mergeCell ref="H8:K8"/>
    <mergeCell ref="H9:K9"/>
    <mergeCell ref="H10:K10"/>
    <mergeCell ref="B24:C24"/>
    <mergeCell ref="A30:F30"/>
    <mergeCell ref="G30:K30"/>
    <mergeCell ref="H27:K27"/>
    <mergeCell ref="B25:C25"/>
    <mergeCell ref="H25:K25"/>
    <mergeCell ref="B28:C28"/>
    <mergeCell ref="H28:K28"/>
    <mergeCell ref="B29:C29"/>
    <mergeCell ref="H29:K29"/>
    <mergeCell ref="B27:C27"/>
    <mergeCell ref="B26:C26"/>
    <mergeCell ref="H26:K26"/>
  </mergeCells>
  <dataValidations count="4">
    <dataValidation type="list" allowBlank="1" showInputMessage="1" showErrorMessage="1" sqref="D10:D14 D23:D29 E26:F26" xr:uid="{00000000-0002-0000-0200-000000000000}">
      <formula1>$M$33:$M$49</formula1>
    </dataValidation>
    <dataValidation type="list" allowBlank="1" showInputMessage="1" showErrorMessage="1" sqref="D9" xr:uid="{00000000-0002-0000-0200-000001000000}">
      <formula1>$M$33:$M$48</formula1>
    </dataValidation>
    <dataValidation type="list" allowBlank="1" showInputMessage="1" showErrorMessage="1" sqref="D15 E9:F15 E23:F25 E27:F29" xr:uid="{00000000-0002-0000-0200-000002000000}">
      <formula1>$M$41:$M$55</formula1>
    </dataValidation>
    <dataValidation type="list" allowBlank="1" showInputMessage="1" showErrorMessage="1" sqref="C5:G5" xr:uid="{00000000-0002-0000-0200-000003000000}">
      <formula1>$O$9:$O$27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P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.5546875" style="2" customWidth="1" collapsed="1"/>
    <col min="3" max="3" width="32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44140625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hidden="1" customWidth="1" collapsed="1"/>
    <col min="17" max="20" width="0" style="2" hidden="1" customWidth="1" collapsed="1"/>
    <col min="21" max="16384" width="11.44140625" style="2" collapsed="1"/>
  </cols>
  <sheetData>
    <row r="1" spans="1:16" ht="15" customHeight="1" x14ac:dyDescent="0.3">
      <c r="A1" s="135"/>
      <c r="B1" s="135"/>
      <c r="C1" s="145" t="s">
        <v>14</v>
      </c>
      <c r="D1" s="146"/>
      <c r="E1" s="146"/>
      <c r="F1" s="146"/>
      <c r="G1" s="146"/>
      <c r="H1" s="147"/>
      <c r="I1" s="30" t="s">
        <v>23</v>
      </c>
      <c r="J1" s="194" t="s">
        <v>47</v>
      </c>
      <c r="K1" s="180"/>
      <c r="L1" s="78" t="s">
        <v>109</v>
      </c>
    </row>
    <row r="2" spans="1:16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6" x14ac:dyDescent="0.3">
      <c r="A3" s="135"/>
      <c r="B3" s="135"/>
      <c r="C3" s="145"/>
      <c r="D3" s="146"/>
      <c r="E3" s="146"/>
      <c r="F3" s="146"/>
      <c r="G3" s="146"/>
      <c r="H3" s="147"/>
      <c r="I3" s="30" t="s">
        <v>25</v>
      </c>
      <c r="J3" s="195">
        <v>42286</v>
      </c>
      <c r="K3" s="195"/>
      <c r="L3" s="78" t="s">
        <v>111</v>
      </c>
    </row>
    <row r="4" spans="1:16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6" ht="15.75" customHeight="1" x14ac:dyDescent="0.3">
      <c r="A5" s="3"/>
      <c r="B5" s="13" t="s">
        <v>30</v>
      </c>
      <c r="C5" s="136" t="s">
        <v>112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6" ht="15.75" customHeight="1" x14ac:dyDescent="0.3">
      <c r="A6" s="18"/>
      <c r="E6" s="19"/>
      <c r="F6" s="19"/>
      <c r="G6" s="11"/>
      <c r="L6" s="78" t="s">
        <v>114</v>
      </c>
    </row>
    <row r="7" spans="1:16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6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6" ht="18" customHeight="1" x14ac:dyDescent="0.3">
      <c r="A9" s="29">
        <v>1</v>
      </c>
      <c r="B9" s="153" t="s">
        <v>27</v>
      </c>
      <c r="C9" s="154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P9" s="87" t="s">
        <v>2</v>
      </c>
    </row>
    <row r="10" spans="1:16" ht="18" customHeight="1" x14ac:dyDescent="0.3">
      <c r="A10" s="29">
        <v>2</v>
      </c>
      <c r="B10" s="153" t="s">
        <v>26</v>
      </c>
      <c r="C10" s="154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P10" s="87" t="s">
        <v>46</v>
      </c>
    </row>
    <row r="11" spans="1:16" ht="18" customHeight="1" x14ac:dyDescent="0.3">
      <c r="A11" s="29">
        <v>3</v>
      </c>
      <c r="B11" s="153" t="s">
        <v>29</v>
      </c>
      <c r="C11" s="154"/>
      <c r="D11" s="28">
        <v>2</v>
      </c>
      <c r="E11" s="7">
        <v>2</v>
      </c>
      <c r="F11" s="7">
        <v>2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P11" s="87" t="s">
        <v>92</v>
      </c>
    </row>
    <row r="12" spans="1:16" ht="18" customHeight="1" x14ac:dyDescent="0.3">
      <c r="A12" s="29">
        <v>4</v>
      </c>
      <c r="B12" s="153" t="s">
        <v>28</v>
      </c>
      <c r="C12" s="154"/>
      <c r="D12" s="28">
        <v>2</v>
      </c>
      <c r="E12" s="7">
        <v>2</v>
      </c>
      <c r="F12" s="7">
        <v>2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P12" s="87" t="s">
        <v>12</v>
      </c>
    </row>
    <row r="13" spans="1:16" ht="18" customHeight="1" x14ac:dyDescent="0.3">
      <c r="A13" s="29">
        <v>5</v>
      </c>
      <c r="B13" s="153" t="s">
        <v>20</v>
      </c>
      <c r="C13" s="154"/>
      <c r="D13" s="28">
        <v>2</v>
      </c>
      <c r="E13" s="7">
        <v>2</v>
      </c>
      <c r="F13" s="7">
        <v>2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P13" s="87" t="s">
        <v>45</v>
      </c>
    </row>
    <row r="14" spans="1:16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P14" s="87" t="s">
        <v>11</v>
      </c>
    </row>
    <row r="15" spans="1:16" ht="18" customHeight="1" x14ac:dyDescent="0.3">
      <c r="A15" s="173">
        <v>7</v>
      </c>
      <c r="B15" s="161" t="s">
        <v>22</v>
      </c>
      <c r="C15" s="162"/>
      <c r="D15" s="167">
        <v>2</v>
      </c>
      <c r="E15" s="170">
        <v>2</v>
      </c>
      <c r="F15" s="170">
        <v>2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65"/>
      <c r="J15" s="51" t="s">
        <v>60</v>
      </c>
      <c r="K15" s="46"/>
      <c r="L15" s="78" t="s">
        <v>123</v>
      </c>
      <c r="P15" s="87" t="s">
        <v>93</v>
      </c>
    </row>
    <row r="16" spans="1:16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6"/>
      <c r="J16" s="51" t="s">
        <v>60</v>
      </c>
      <c r="K16" s="46"/>
      <c r="L16" s="78" t="s">
        <v>124</v>
      </c>
      <c r="M16" s="2"/>
      <c r="N16" s="2"/>
      <c r="P16" s="87" t="s">
        <v>94</v>
      </c>
    </row>
    <row r="17" spans="1:16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6"/>
      <c r="J17" s="51" t="s">
        <v>60</v>
      </c>
      <c r="K17" s="46"/>
      <c r="L17" s="78" t="s">
        <v>125</v>
      </c>
      <c r="M17" s="2"/>
      <c r="N17" s="2"/>
      <c r="P17" s="87" t="s">
        <v>13</v>
      </c>
    </row>
    <row r="18" spans="1:16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66"/>
      <c r="J18" s="51" t="s">
        <v>60</v>
      </c>
      <c r="K18" s="46"/>
      <c r="L18" s="78" t="s">
        <v>126</v>
      </c>
      <c r="M18" s="2"/>
      <c r="N18" s="2"/>
      <c r="P18" s="87" t="s">
        <v>6</v>
      </c>
    </row>
    <row r="19" spans="1:16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62"/>
      <c r="J19" s="51" t="s">
        <v>60</v>
      </c>
      <c r="K19" s="46"/>
      <c r="L19" s="78" t="s">
        <v>127</v>
      </c>
      <c r="M19" s="2"/>
      <c r="N19" s="2"/>
      <c r="P19" s="87" t="s">
        <v>76</v>
      </c>
    </row>
    <row r="20" spans="1:16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5"/>
      <c r="J20" s="51" t="s">
        <v>60</v>
      </c>
      <c r="K20" s="46"/>
      <c r="L20" s="78" t="s">
        <v>128</v>
      </c>
      <c r="M20" s="2"/>
      <c r="N20" s="2"/>
      <c r="P20" s="87" t="s">
        <v>7</v>
      </c>
    </row>
    <row r="21" spans="1:16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P21" s="87" t="s">
        <v>95</v>
      </c>
    </row>
    <row r="22" spans="1:16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P22" s="87" t="s">
        <v>96</v>
      </c>
    </row>
    <row r="23" spans="1:16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P23" s="87" t="s">
        <v>97</v>
      </c>
    </row>
    <row r="24" spans="1:16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P24" s="87" t="s">
        <v>98</v>
      </c>
    </row>
    <row r="25" spans="1:16" ht="18" customHeight="1" x14ac:dyDescent="0.3">
      <c r="A25" s="29">
        <v>10</v>
      </c>
      <c r="B25" s="153" t="s">
        <v>8</v>
      </c>
      <c r="C25" s="154"/>
      <c r="D25" s="28">
        <v>2</v>
      </c>
      <c r="E25" s="7">
        <v>2</v>
      </c>
      <c r="F25" s="7">
        <v>2</v>
      </c>
      <c r="G25" s="22">
        <f t="shared" si="0"/>
        <v>1</v>
      </c>
      <c r="H25" s="130"/>
      <c r="I25" s="130"/>
      <c r="J25" s="130"/>
      <c r="K25" s="130"/>
      <c r="M25" s="2"/>
      <c r="N25" s="2"/>
      <c r="P25" s="87" t="s">
        <v>99</v>
      </c>
    </row>
    <row r="26" spans="1:16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2</v>
      </c>
      <c r="F26" s="28">
        <v>2</v>
      </c>
      <c r="G26" s="22" t="str">
        <f t="shared" si="0"/>
        <v>-</v>
      </c>
      <c r="H26" s="113"/>
      <c r="I26" s="114"/>
      <c r="J26" s="114"/>
      <c r="K26" s="115"/>
      <c r="M26" s="2"/>
      <c r="N26" s="2"/>
      <c r="P26" s="87" t="s">
        <v>100</v>
      </c>
    </row>
    <row r="27" spans="1:16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P27" s="87" t="s">
        <v>101</v>
      </c>
    </row>
    <row r="28" spans="1:16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16" ht="18" customHeight="1" thickBot="1" x14ac:dyDescent="0.35">
      <c r="A29" s="29">
        <v>14</v>
      </c>
      <c r="B29" s="105" t="s">
        <v>68</v>
      </c>
      <c r="C29" s="196"/>
      <c r="D29" s="28">
        <v>2</v>
      </c>
      <c r="E29" s="7">
        <v>2</v>
      </c>
      <c r="F29" s="7">
        <v>2</v>
      </c>
      <c r="G29" s="22">
        <f t="shared" si="0"/>
        <v>1</v>
      </c>
      <c r="H29" s="130"/>
      <c r="I29" s="130"/>
      <c r="J29" s="130"/>
      <c r="K29" s="130"/>
    </row>
    <row r="30" spans="1:16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6" ht="17.25" customHeight="1" x14ac:dyDescent="0.3">
      <c r="A31" s="34"/>
      <c r="E31" s="17"/>
      <c r="F31" s="35"/>
      <c r="G31" s="36"/>
      <c r="H31" s="25"/>
      <c r="I31" s="37"/>
      <c r="J31" s="23"/>
    </row>
    <row r="32" spans="1:16" ht="28.5" customHeight="1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35:K36"/>
    <mergeCell ref="A32:B32"/>
    <mergeCell ref="C32:D32"/>
    <mergeCell ref="A33:B33"/>
    <mergeCell ref="C33:D33"/>
    <mergeCell ref="B28:C28"/>
    <mergeCell ref="H28:K28"/>
    <mergeCell ref="A30:F30"/>
    <mergeCell ref="G30:K30"/>
    <mergeCell ref="B29:C29"/>
    <mergeCell ref="H29:K29"/>
    <mergeCell ref="H11:K11"/>
    <mergeCell ref="H12:K12"/>
    <mergeCell ref="H13:K13"/>
    <mergeCell ref="H14:K14"/>
    <mergeCell ref="B12:C12"/>
    <mergeCell ref="B13:C13"/>
    <mergeCell ref="B11:C11"/>
    <mergeCell ref="B14:C14"/>
    <mergeCell ref="F15:F22"/>
    <mergeCell ref="B27:C27"/>
    <mergeCell ref="H23:K23"/>
    <mergeCell ref="H24:K24"/>
    <mergeCell ref="H27:K27"/>
    <mergeCell ref="H25:K25"/>
    <mergeCell ref="B25:C25"/>
    <mergeCell ref="G15:G22"/>
    <mergeCell ref="H22:K22"/>
    <mergeCell ref="B24:C24"/>
    <mergeCell ref="B23:C23"/>
    <mergeCell ref="B15:C22"/>
    <mergeCell ref="B26:C26"/>
    <mergeCell ref="H26:K26"/>
    <mergeCell ref="A15:A22"/>
    <mergeCell ref="B10:C10"/>
    <mergeCell ref="A1:B3"/>
    <mergeCell ref="C5:G5"/>
    <mergeCell ref="I5:J5"/>
    <mergeCell ref="B8:C8"/>
    <mergeCell ref="B9:C9"/>
    <mergeCell ref="A7:K7"/>
    <mergeCell ref="H8:K8"/>
    <mergeCell ref="H9:K9"/>
    <mergeCell ref="H10:K10"/>
    <mergeCell ref="J1:K1"/>
    <mergeCell ref="J3:K3"/>
    <mergeCell ref="C1:H3"/>
    <mergeCell ref="D15:D22"/>
    <mergeCell ref="E15:E22"/>
  </mergeCells>
  <dataValidations count="4">
    <dataValidation type="list" allowBlank="1" showInputMessage="1" showErrorMessage="1" sqref="D10:D14 D23:D29 E26:F26" xr:uid="{00000000-0002-0000-0300-000000000000}">
      <formula1>$M$33:$M$49</formula1>
    </dataValidation>
    <dataValidation type="list" allowBlank="1" showInputMessage="1" showErrorMessage="1" sqref="D9" xr:uid="{00000000-0002-0000-0300-000001000000}">
      <formula1>$M$33:$M$48</formula1>
    </dataValidation>
    <dataValidation type="list" allowBlank="1" showInputMessage="1" showErrorMessage="1" sqref="D15 E9:F15 E23:F25 E27:F29" xr:uid="{00000000-0002-0000-0300-000002000000}">
      <formula1>$M$41:$M$55</formula1>
    </dataValidation>
    <dataValidation type="list" allowBlank="1" showInputMessage="1" showErrorMessage="1" sqref="C5:G5" xr:uid="{00000000-0002-0000-03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3" orientation="portrait" r:id="rId1"/>
  <headerFooter>
    <oddFooter>&amp;RPág. &amp;P -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P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1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5546875" style="2" customWidth="1" collapsed="1"/>
    <col min="12" max="12" width="14.44140625" style="2" hidden="1" customWidth="1" collapsed="1"/>
    <col min="13" max="14" width="11.44140625" style="6" customWidth="1" collapsed="1"/>
    <col min="15" max="15" width="11.44140625" style="2" hidden="1" customWidth="1" collapsed="1"/>
    <col min="16" max="16" width="11.44140625" style="2" customWidth="1" collapsed="1"/>
    <col min="17" max="16384" width="11.44140625" style="2" collapsed="1"/>
  </cols>
  <sheetData>
    <row r="1" spans="1:15" ht="15" customHeight="1" x14ac:dyDescent="0.3">
      <c r="A1" s="135"/>
      <c r="B1" s="135"/>
      <c r="C1" s="145" t="s">
        <v>14</v>
      </c>
      <c r="D1" s="146"/>
      <c r="E1" s="146"/>
      <c r="F1" s="146"/>
      <c r="G1" s="146"/>
      <c r="H1" s="147"/>
      <c r="I1" s="30" t="s">
        <v>23</v>
      </c>
      <c r="J1" s="197" t="s">
        <v>47</v>
      </c>
      <c r="K1" s="198"/>
      <c r="L1" s="78" t="s">
        <v>109</v>
      </c>
    </row>
    <row r="2" spans="1:15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5" x14ac:dyDescent="0.3">
      <c r="A3" s="135"/>
      <c r="B3" s="135"/>
      <c r="C3" s="145"/>
      <c r="D3" s="146"/>
      <c r="E3" s="146"/>
      <c r="F3" s="146"/>
      <c r="G3" s="146"/>
      <c r="H3" s="147"/>
      <c r="I3" s="30" t="s">
        <v>25</v>
      </c>
      <c r="J3" s="140">
        <v>42286</v>
      </c>
      <c r="K3" s="141"/>
      <c r="L3" s="78" t="s">
        <v>111</v>
      </c>
    </row>
    <row r="4" spans="1:15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5" ht="15.75" customHeight="1" x14ac:dyDescent="0.3">
      <c r="A5" s="3"/>
      <c r="B5" s="13" t="s">
        <v>30</v>
      </c>
      <c r="C5" s="136" t="s">
        <v>113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5" ht="15.75" customHeight="1" x14ac:dyDescent="0.3">
      <c r="A6" s="18"/>
      <c r="E6" s="19"/>
      <c r="F6" s="19"/>
      <c r="G6" s="11"/>
      <c r="L6" s="78" t="s">
        <v>114</v>
      </c>
    </row>
    <row r="7" spans="1:15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5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5" ht="18" customHeight="1" x14ac:dyDescent="0.3">
      <c r="A9" s="29">
        <v>1</v>
      </c>
      <c r="B9" s="153" t="s">
        <v>27</v>
      </c>
      <c r="C9" s="154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O9" s="2" t="s">
        <v>2</v>
      </c>
    </row>
    <row r="10" spans="1:15" ht="18" customHeight="1" x14ac:dyDescent="0.3">
      <c r="A10" s="29">
        <v>2</v>
      </c>
      <c r="B10" s="153" t="s">
        <v>26</v>
      </c>
      <c r="C10" s="154"/>
      <c r="D10" s="28">
        <v>3</v>
      </c>
      <c r="E10" s="7">
        <v>3</v>
      </c>
      <c r="F10" s="7">
        <v>3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O10" s="2" t="s">
        <v>46</v>
      </c>
    </row>
    <row r="11" spans="1:15" ht="18" customHeight="1" x14ac:dyDescent="0.3">
      <c r="A11" s="29">
        <v>3</v>
      </c>
      <c r="B11" s="153" t="s">
        <v>29</v>
      </c>
      <c r="C11" s="154"/>
      <c r="D11" s="28">
        <v>3</v>
      </c>
      <c r="E11" s="7">
        <v>3</v>
      </c>
      <c r="F11" s="7">
        <v>3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O11" s="2" t="s">
        <v>92</v>
      </c>
    </row>
    <row r="12" spans="1:15" ht="18" customHeight="1" x14ac:dyDescent="0.3">
      <c r="A12" s="29">
        <v>4</v>
      </c>
      <c r="B12" s="153" t="s">
        <v>28</v>
      </c>
      <c r="C12" s="154"/>
      <c r="D12" s="28">
        <v>3</v>
      </c>
      <c r="E12" s="7">
        <v>3</v>
      </c>
      <c r="F12" s="7">
        <v>3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O12" s="2" t="s">
        <v>12</v>
      </c>
    </row>
    <row r="13" spans="1:15" ht="18" customHeight="1" x14ac:dyDescent="0.3">
      <c r="A13" s="29">
        <v>5</v>
      </c>
      <c r="B13" s="153" t="s">
        <v>20</v>
      </c>
      <c r="C13" s="154"/>
      <c r="D13" s="28">
        <v>3</v>
      </c>
      <c r="E13" s="7">
        <v>3</v>
      </c>
      <c r="F13" s="7">
        <v>3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O13" s="2" t="s">
        <v>45</v>
      </c>
    </row>
    <row r="14" spans="1:15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O14" s="2" t="s">
        <v>11</v>
      </c>
    </row>
    <row r="15" spans="1:15" ht="18" customHeight="1" x14ac:dyDescent="0.3">
      <c r="A15" s="173">
        <v>7</v>
      </c>
      <c r="B15" s="161" t="s">
        <v>22</v>
      </c>
      <c r="C15" s="162"/>
      <c r="D15" s="167">
        <v>3</v>
      </c>
      <c r="E15" s="170">
        <v>3</v>
      </c>
      <c r="F15" s="170">
        <v>3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57"/>
      <c r="J15" s="51" t="s">
        <v>60</v>
      </c>
      <c r="K15" s="46"/>
      <c r="L15" s="78" t="s">
        <v>123</v>
      </c>
      <c r="O15" s="2" t="s">
        <v>93</v>
      </c>
    </row>
    <row r="16" spans="1:15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57"/>
      <c r="J16" s="51" t="s">
        <v>60</v>
      </c>
      <c r="K16" s="46"/>
      <c r="L16" s="78" t="s">
        <v>124</v>
      </c>
      <c r="M16" s="2"/>
      <c r="N16" s="2"/>
      <c r="O16" s="2" t="s">
        <v>94</v>
      </c>
    </row>
    <row r="17" spans="1:15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57"/>
      <c r="J17" s="51" t="s">
        <v>60</v>
      </c>
      <c r="K17" s="46"/>
      <c r="L17" s="78" t="s">
        <v>125</v>
      </c>
      <c r="M17" s="2"/>
      <c r="N17" s="2"/>
      <c r="O17" s="2" t="s">
        <v>13</v>
      </c>
    </row>
    <row r="18" spans="1:15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57"/>
      <c r="J18" s="51" t="s">
        <v>60</v>
      </c>
      <c r="K18" s="46"/>
      <c r="L18" s="78" t="s">
        <v>126</v>
      </c>
      <c r="M18" s="2"/>
      <c r="N18" s="2"/>
      <c r="O18" s="2" t="s">
        <v>6</v>
      </c>
    </row>
    <row r="19" spans="1:15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46"/>
      <c r="J19" s="51" t="s">
        <v>60</v>
      </c>
      <c r="K19" s="46"/>
      <c r="L19" s="78" t="s">
        <v>127</v>
      </c>
      <c r="M19" s="2"/>
      <c r="N19" s="2"/>
      <c r="O19" s="2" t="s">
        <v>76</v>
      </c>
    </row>
    <row r="20" spans="1:15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5"/>
      <c r="J20" s="51" t="s">
        <v>60</v>
      </c>
      <c r="K20" s="46"/>
      <c r="L20" s="78" t="s">
        <v>128</v>
      </c>
      <c r="M20" s="2"/>
      <c r="N20" s="2"/>
      <c r="O20" s="2" t="s">
        <v>7</v>
      </c>
    </row>
    <row r="21" spans="1:15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O21" s="2" t="s">
        <v>95</v>
      </c>
    </row>
    <row r="22" spans="1:15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O22" s="2" t="s">
        <v>96</v>
      </c>
    </row>
    <row r="23" spans="1:15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O23" s="2" t="s">
        <v>97</v>
      </c>
    </row>
    <row r="24" spans="1:15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O24" s="2" t="s">
        <v>98</v>
      </c>
    </row>
    <row r="25" spans="1:15" ht="18" customHeight="1" x14ac:dyDescent="0.3">
      <c r="A25" s="29">
        <v>10</v>
      </c>
      <c r="B25" s="153" t="s">
        <v>8</v>
      </c>
      <c r="C25" s="154"/>
      <c r="D25" s="28">
        <v>3</v>
      </c>
      <c r="E25" s="7">
        <v>3</v>
      </c>
      <c r="F25" s="7">
        <v>3</v>
      </c>
      <c r="G25" s="22">
        <f t="shared" si="0"/>
        <v>1</v>
      </c>
      <c r="H25" s="130"/>
      <c r="I25" s="130"/>
      <c r="J25" s="130"/>
      <c r="K25" s="130"/>
      <c r="M25" s="2"/>
      <c r="N25" s="2"/>
      <c r="O25" s="2" t="s">
        <v>99</v>
      </c>
    </row>
    <row r="26" spans="1:15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2</v>
      </c>
      <c r="F26" s="28">
        <v>2</v>
      </c>
      <c r="G26" s="22" t="str">
        <f t="shared" si="0"/>
        <v>-</v>
      </c>
      <c r="H26" s="113"/>
      <c r="I26" s="114"/>
      <c r="J26" s="114"/>
      <c r="K26" s="115"/>
      <c r="M26" s="2"/>
      <c r="N26" s="2"/>
      <c r="O26" s="2" t="s">
        <v>100</v>
      </c>
    </row>
    <row r="27" spans="1:15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O27" s="2" t="s">
        <v>101</v>
      </c>
    </row>
    <row r="28" spans="1:15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15" ht="18" customHeight="1" thickBot="1" x14ac:dyDescent="0.35">
      <c r="A29" s="29">
        <v>14</v>
      </c>
      <c r="B29" s="192" t="s">
        <v>68</v>
      </c>
      <c r="C29" s="193"/>
      <c r="D29" s="28">
        <v>3</v>
      </c>
      <c r="E29" s="7">
        <v>3</v>
      </c>
      <c r="F29" s="7">
        <v>3</v>
      </c>
      <c r="G29" s="22">
        <f t="shared" si="0"/>
        <v>1</v>
      </c>
      <c r="H29" s="130"/>
      <c r="I29" s="130"/>
      <c r="J29" s="130"/>
      <c r="K29" s="130"/>
    </row>
    <row r="30" spans="1:15" ht="19.5" customHeight="1" thickBot="1" x14ac:dyDescent="0.35">
      <c r="A30" s="187" t="s">
        <v>55</v>
      </c>
      <c r="B30" s="188"/>
      <c r="C30" s="188"/>
      <c r="D30" s="188"/>
      <c r="E30" s="188"/>
      <c r="F30" s="199"/>
      <c r="G30" s="189">
        <f>IFERROR(AVERAGE(G9:G28),"-")</f>
        <v>1</v>
      </c>
      <c r="H30" s="190"/>
      <c r="I30" s="190"/>
      <c r="J30" s="190"/>
      <c r="K30" s="191"/>
    </row>
    <row r="31" spans="1:15" ht="17.25" customHeight="1" x14ac:dyDescent="0.3">
      <c r="A31" s="34"/>
      <c r="E31" s="17"/>
      <c r="F31" s="35"/>
      <c r="G31" s="36"/>
      <c r="H31" s="25"/>
      <c r="I31" s="37"/>
      <c r="J31" s="23"/>
    </row>
    <row r="32" spans="1:15" ht="28.5" customHeight="1" x14ac:dyDescent="0.3">
      <c r="A32" s="124" t="s">
        <v>57</v>
      </c>
      <c r="B32" s="125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24" t="s">
        <v>59</v>
      </c>
      <c r="B33" s="125"/>
      <c r="C33" s="122"/>
      <c r="D33" s="123"/>
      <c r="E33" s="39"/>
      <c r="F33" s="39"/>
      <c r="G33" s="27"/>
      <c r="H33" s="26"/>
      <c r="I33" s="26"/>
      <c r="J33" s="25"/>
    </row>
    <row r="34" spans="1:16" ht="15" customHeight="1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16" t="s">
        <v>56</v>
      </c>
      <c r="B35" s="117"/>
      <c r="C35" s="117"/>
      <c r="D35" s="117"/>
      <c r="E35" s="117"/>
      <c r="F35" s="117"/>
      <c r="G35" s="117"/>
      <c r="H35" s="117"/>
      <c r="I35" s="117"/>
      <c r="J35" s="117"/>
      <c r="K35" s="118"/>
    </row>
    <row r="36" spans="1:16" x14ac:dyDescent="0.3">
      <c r="A36" s="119"/>
      <c r="B36" s="120"/>
      <c r="C36" s="120"/>
      <c r="D36" s="120"/>
      <c r="E36" s="120"/>
      <c r="F36" s="120"/>
      <c r="G36" s="120"/>
      <c r="H36" s="120"/>
      <c r="I36" s="120"/>
      <c r="J36" s="120"/>
      <c r="K36" s="12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32:B32"/>
    <mergeCell ref="C32:D32"/>
    <mergeCell ref="A33:B33"/>
    <mergeCell ref="C33:D33"/>
    <mergeCell ref="A35:K36"/>
    <mergeCell ref="B28:C28"/>
    <mergeCell ref="H28:K28"/>
    <mergeCell ref="A30:F30"/>
    <mergeCell ref="G30:K30"/>
    <mergeCell ref="B29:C29"/>
    <mergeCell ref="H29:K29"/>
    <mergeCell ref="B27:C27"/>
    <mergeCell ref="H27:K27"/>
    <mergeCell ref="H25:K25"/>
    <mergeCell ref="B25:C25"/>
    <mergeCell ref="A15:A22"/>
    <mergeCell ref="B15:C22"/>
    <mergeCell ref="D15:D22"/>
    <mergeCell ref="E15:E22"/>
    <mergeCell ref="F15:F22"/>
    <mergeCell ref="G15:G22"/>
    <mergeCell ref="H22:K22"/>
    <mergeCell ref="B24:C24"/>
    <mergeCell ref="B23:C23"/>
    <mergeCell ref="H23:K23"/>
    <mergeCell ref="H24:K24"/>
    <mergeCell ref="B26:C26"/>
    <mergeCell ref="A7:K7"/>
    <mergeCell ref="H8:K8"/>
    <mergeCell ref="H9:K9"/>
    <mergeCell ref="H10:K10"/>
    <mergeCell ref="H11:K11"/>
    <mergeCell ref="B10:C10"/>
    <mergeCell ref="B8:C8"/>
    <mergeCell ref="B9:C9"/>
    <mergeCell ref="B11:C11"/>
    <mergeCell ref="A1:B3"/>
    <mergeCell ref="C5:G5"/>
    <mergeCell ref="I5:J5"/>
    <mergeCell ref="J1:K1"/>
    <mergeCell ref="J3:K3"/>
    <mergeCell ref="C1:H3"/>
    <mergeCell ref="H26:K26"/>
    <mergeCell ref="B12:C12"/>
    <mergeCell ref="B13:C13"/>
    <mergeCell ref="B14:C14"/>
    <mergeCell ref="H12:K12"/>
    <mergeCell ref="H13:K13"/>
    <mergeCell ref="H14:K14"/>
  </mergeCells>
  <dataValidations count="4">
    <dataValidation type="list" allowBlank="1" showInputMessage="1" showErrorMessage="1" sqref="D10:D14 D23:D29 E26:F26" xr:uid="{00000000-0002-0000-0400-000000000000}">
      <formula1>$M$33:$M$49</formula1>
    </dataValidation>
    <dataValidation type="list" allowBlank="1" showInputMessage="1" showErrorMessage="1" sqref="D9" xr:uid="{00000000-0002-0000-0400-000001000000}">
      <formula1>$M$33:$M$48</formula1>
    </dataValidation>
    <dataValidation type="list" allowBlank="1" showInputMessage="1" showErrorMessage="1" sqref="D15 E9:F15 E23:F25 E27:F29" xr:uid="{00000000-0002-0000-0400-000002000000}">
      <formula1>$M$41:$M$55</formula1>
    </dataValidation>
    <dataValidation type="list" allowBlank="1" showInputMessage="1" showErrorMessage="1" sqref="C5:G5" xr:uid="{00000000-0002-0000-04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P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customWidth="1" collapsed="1"/>
    <col min="12" max="12" width="14.44140625" style="2" hidden="1" customWidth="1" collapsed="1"/>
    <col min="13" max="14" width="11.44140625" style="6" customWidth="1" collapsed="1"/>
    <col min="15" max="15" width="11.44140625" style="2" customWidth="1" collapsed="1"/>
    <col min="16" max="16" width="11.44140625" style="2" hidden="1" customWidth="1" collapsed="1"/>
    <col min="17" max="16384" width="11.44140625" style="2" collapsed="1"/>
  </cols>
  <sheetData>
    <row r="1" spans="1:16" ht="15" customHeight="1" x14ac:dyDescent="0.3">
      <c r="A1" s="135"/>
      <c r="B1" s="135"/>
      <c r="C1" s="145" t="s">
        <v>14</v>
      </c>
      <c r="D1" s="146"/>
      <c r="E1" s="146"/>
      <c r="F1" s="146"/>
      <c r="G1" s="146"/>
      <c r="H1" s="147"/>
      <c r="I1" s="30" t="s">
        <v>23</v>
      </c>
      <c r="J1" s="200" t="s">
        <v>47</v>
      </c>
      <c r="K1" s="201"/>
      <c r="L1" s="78" t="s">
        <v>109</v>
      </c>
    </row>
    <row r="2" spans="1:16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6" x14ac:dyDescent="0.3">
      <c r="A3" s="135"/>
      <c r="B3" s="135"/>
      <c r="C3" s="145"/>
      <c r="D3" s="146"/>
      <c r="E3" s="146"/>
      <c r="F3" s="146"/>
      <c r="G3" s="146"/>
      <c r="H3" s="147"/>
      <c r="I3" s="30" t="s">
        <v>25</v>
      </c>
      <c r="J3" s="140">
        <v>42286</v>
      </c>
      <c r="K3" s="141"/>
      <c r="L3" s="78" t="s">
        <v>111</v>
      </c>
    </row>
    <row r="4" spans="1:16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6" ht="15.75" customHeight="1" x14ac:dyDescent="0.3">
      <c r="A5" s="3"/>
      <c r="B5" s="13" t="s">
        <v>30</v>
      </c>
      <c r="C5" s="136" t="s">
        <v>114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6" ht="15.75" customHeight="1" x14ac:dyDescent="0.3">
      <c r="A6" s="18"/>
      <c r="E6" s="19"/>
      <c r="F6" s="19"/>
      <c r="G6" s="11"/>
      <c r="L6" s="78" t="s">
        <v>114</v>
      </c>
    </row>
    <row r="7" spans="1:16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6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6" ht="18" customHeight="1" x14ac:dyDescent="0.3">
      <c r="A9" s="29">
        <v>1</v>
      </c>
      <c r="B9" s="153" t="s">
        <v>27</v>
      </c>
      <c r="C9" s="154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P9" s="2" t="s">
        <v>2</v>
      </c>
    </row>
    <row r="10" spans="1:16" ht="18" customHeight="1" x14ac:dyDescent="0.3">
      <c r="A10" s="29">
        <v>2</v>
      </c>
      <c r="B10" s="153" t="s">
        <v>26</v>
      </c>
      <c r="C10" s="154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P10" s="2" t="s">
        <v>46</v>
      </c>
    </row>
    <row r="11" spans="1:16" ht="18" customHeight="1" x14ac:dyDescent="0.3">
      <c r="A11" s="29">
        <v>3</v>
      </c>
      <c r="B11" s="153" t="s">
        <v>29</v>
      </c>
      <c r="C11" s="154"/>
      <c r="D11" s="28">
        <v>2</v>
      </c>
      <c r="E11" s="7">
        <v>2</v>
      </c>
      <c r="F11" s="7">
        <v>2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P11" s="2" t="s">
        <v>92</v>
      </c>
    </row>
    <row r="12" spans="1:16" ht="18" customHeight="1" x14ac:dyDescent="0.3">
      <c r="A12" s="29">
        <v>4</v>
      </c>
      <c r="B12" s="153" t="s">
        <v>28</v>
      </c>
      <c r="C12" s="154"/>
      <c r="D12" s="28">
        <v>2</v>
      </c>
      <c r="E12" s="7">
        <v>2</v>
      </c>
      <c r="F12" s="7">
        <v>2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P12" s="2" t="s">
        <v>12</v>
      </c>
    </row>
    <row r="13" spans="1:16" ht="18" customHeight="1" x14ac:dyDescent="0.3">
      <c r="A13" s="29">
        <v>5</v>
      </c>
      <c r="B13" s="153" t="s">
        <v>20</v>
      </c>
      <c r="C13" s="154"/>
      <c r="D13" s="28">
        <v>2</v>
      </c>
      <c r="E13" s="7">
        <v>2</v>
      </c>
      <c r="F13" s="7">
        <v>2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P13" s="2" t="s">
        <v>45</v>
      </c>
    </row>
    <row r="14" spans="1:16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P14" s="2" t="s">
        <v>11</v>
      </c>
    </row>
    <row r="15" spans="1:16" ht="18" customHeight="1" x14ac:dyDescent="0.3">
      <c r="A15" s="173">
        <v>7</v>
      </c>
      <c r="B15" s="161" t="s">
        <v>22</v>
      </c>
      <c r="C15" s="162"/>
      <c r="D15" s="167">
        <v>2</v>
      </c>
      <c r="E15" s="170">
        <v>2</v>
      </c>
      <c r="F15" s="170">
        <v>2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6"/>
      <c r="J15" s="51" t="s">
        <v>60</v>
      </c>
      <c r="L15" s="78" t="s">
        <v>123</v>
      </c>
      <c r="P15" s="2" t="s">
        <v>93</v>
      </c>
    </row>
    <row r="16" spans="1:16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57"/>
      <c r="J16" s="51" t="s">
        <v>60</v>
      </c>
      <c r="K16" s="46"/>
      <c r="L16" s="78" t="s">
        <v>124</v>
      </c>
      <c r="M16" s="2"/>
      <c r="N16" s="2"/>
      <c r="P16" s="2" t="s">
        <v>94</v>
      </c>
    </row>
    <row r="17" spans="1:16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57"/>
      <c r="J17" s="51" t="s">
        <v>60</v>
      </c>
      <c r="K17" s="46"/>
      <c r="L17" s="78" t="s">
        <v>125</v>
      </c>
      <c r="M17" s="2"/>
      <c r="N17" s="2"/>
      <c r="P17" s="2" t="s">
        <v>13</v>
      </c>
    </row>
    <row r="18" spans="1:16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J18" s="51" t="s">
        <v>60</v>
      </c>
      <c r="K18" s="46"/>
      <c r="L18" s="78" t="s">
        <v>126</v>
      </c>
      <c r="M18" s="2"/>
      <c r="N18" s="2"/>
      <c r="P18" s="2" t="s">
        <v>6</v>
      </c>
    </row>
    <row r="19" spans="1:16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46"/>
      <c r="J19" s="51" t="s">
        <v>60</v>
      </c>
      <c r="K19" s="46"/>
      <c r="L19" s="78" t="s">
        <v>127</v>
      </c>
      <c r="M19" s="2"/>
      <c r="N19" s="2"/>
      <c r="P19" s="2" t="s">
        <v>76</v>
      </c>
    </row>
    <row r="20" spans="1:16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5"/>
      <c r="J20" s="51" t="s">
        <v>60</v>
      </c>
      <c r="K20" s="46"/>
      <c r="L20" s="78" t="s">
        <v>128</v>
      </c>
      <c r="M20" s="2"/>
      <c r="N20" s="2"/>
      <c r="P20" s="2" t="s">
        <v>7</v>
      </c>
    </row>
    <row r="21" spans="1:16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P21" s="2" t="s">
        <v>95</v>
      </c>
    </row>
    <row r="22" spans="1:16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P22" s="2" t="s">
        <v>96</v>
      </c>
    </row>
    <row r="23" spans="1:16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P23" s="2" t="s">
        <v>97</v>
      </c>
    </row>
    <row r="24" spans="1:16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P24" s="2" t="s">
        <v>98</v>
      </c>
    </row>
    <row r="25" spans="1:16" ht="18" customHeight="1" x14ac:dyDescent="0.3">
      <c r="A25" s="29">
        <v>10</v>
      </c>
      <c r="B25" s="153" t="s">
        <v>8</v>
      </c>
      <c r="C25" s="154"/>
      <c r="D25" s="28">
        <v>2</v>
      </c>
      <c r="E25" s="7">
        <v>2</v>
      </c>
      <c r="F25" s="7">
        <v>2</v>
      </c>
      <c r="G25" s="22">
        <f t="shared" si="0"/>
        <v>1</v>
      </c>
      <c r="H25" s="130"/>
      <c r="I25" s="130"/>
      <c r="J25" s="130"/>
      <c r="K25" s="130"/>
      <c r="M25" s="2"/>
      <c r="N25" s="2"/>
      <c r="P25" s="2" t="s">
        <v>99</v>
      </c>
    </row>
    <row r="26" spans="1:16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P26" s="2" t="s">
        <v>100</v>
      </c>
    </row>
    <row r="27" spans="1:16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P27" s="2" t="s">
        <v>101</v>
      </c>
    </row>
    <row r="28" spans="1:16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16" ht="18" customHeight="1" thickBot="1" x14ac:dyDescent="0.35">
      <c r="A29" s="29">
        <v>14</v>
      </c>
      <c r="B29" s="192" t="s">
        <v>68</v>
      </c>
      <c r="C29" s="193"/>
      <c r="D29" s="28">
        <v>2</v>
      </c>
      <c r="E29" s="7">
        <v>2</v>
      </c>
      <c r="F29" s="7">
        <v>2</v>
      </c>
      <c r="G29" s="22">
        <f t="shared" si="0"/>
        <v>1</v>
      </c>
      <c r="H29" s="130"/>
      <c r="I29" s="130"/>
      <c r="J29" s="130"/>
      <c r="K29" s="130"/>
    </row>
    <row r="30" spans="1:16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6" ht="17.25" customHeight="1" x14ac:dyDescent="0.3">
      <c r="A31" s="34"/>
      <c r="E31" s="17"/>
      <c r="F31" s="35"/>
      <c r="G31" s="36"/>
      <c r="H31" s="25"/>
      <c r="I31" s="37"/>
      <c r="J31" s="23"/>
    </row>
    <row r="32" spans="1:16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ht="28.5" customHeight="1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32:B32"/>
    <mergeCell ref="C32:D32"/>
    <mergeCell ref="A33:B33"/>
    <mergeCell ref="C33:D33"/>
    <mergeCell ref="A35:K36"/>
    <mergeCell ref="B28:C28"/>
    <mergeCell ref="H28:K28"/>
    <mergeCell ref="A30:F30"/>
    <mergeCell ref="G30:K30"/>
    <mergeCell ref="B29:C29"/>
    <mergeCell ref="H29:K29"/>
    <mergeCell ref="B27:C27"/>
    <mergeCell ref="H27:K27"/>
    <mergeCell ref="H25:K25"/>
    <mergeCell ref="B25:C25"/>
    <mergeCell ref="A15:A22"/>
    <mergeCell ref="B15:C22"/>
    <mergeCell ref="D15:D22"/>
    <mergeCell ref="E15:E22"/>
    <mergeCell ref="F15:F22"/>
    <mergeCell ref="G15:G22"/>
    <mergeCell ref="H22:K22"/>
    <mergeCell ref="B24:C24"/>
    <mergeCell ref="B23:C23"/>
    <mergeCell ref="H23:K23"/>
    <mergeCell ref="H24:K24"/>
    <mergeCell ref="B26:C26"/>
    <mergeCell ref="A7:K7"/>
    <mergeCell ref="H8:K8"/>
    <mergeCell ref="H9:K9"/>
    <mergeCell ref="H10:K10"/>
    <mergeCell ref="H11:K11"/>
    <mergeCell ref="B10:C10"/>
    <mergeCell ref="B8:C8"/>
    <mergeCell ref="B9:C9"/>
    <mergeCell ref="B11:C11"/>
    <mergeCell ref="A1:B3"/>
    <mergeCell ref="C5:G5"/>
    <mergeCell ref="I5:J5"/>
    <mergeCell ref="J1:K1"/>
    <mergeCell ref="J3:K3"/>
    <mergeCell ref="C1:H3"/>
    <mergeCell ref="H26:K26"/>
    <mergeCell ref="B12:C12"/>
    <mergeCell ref="B13:C13"/>
    <mergeCell ref="B14:C14"/>
    <mergeCell ref="H12:K12"/>
    <mergeCell ref="H13:K13"/>
    <mergeCell ref="H14:K14"/>
  </mergeCells>
  <dataValidations count="5">
    <dataValidation type="list" allowBlank="1" showInputMessage="1" showErrorMessage="1" sqref="D10:D14 D23:D25 D27:D28" xr:uid="{00000000-0002-0000-0500-000000000000}">
      <formula1>$M$34:$M$50</formula1>
    </dataValidation>
    <dataValidation type="list" allowBlank="1" showInputMessage="1" showErrorMessage="1" sqref="D9" xr:uid="{00000000-0002-0000-0500-000001000000}">
      <formula1>$M$34:$M$49</formula1>
    </dataValidation>
    <dataValidation type="list" allowBlank="1" showInputMessage="1" showErrorMessage="1" sqref="D15 E9:F15 E23:F25 E27:F29" xr:uid="{00000000-0002-0000-0500-000002000000}">
      <formula1>$M$41:$M$55</formula1>
    </dataValidation>
    <dataValidation type="list" allowBlank="1" showInputMessage="1" showErrorMessage="1" sqref="D29 D26:F26" xr:uid="{00000000-0002-0000-0500-000003000000}">
      <formula1>$M$33:$M$49</formula1>
    </dataValidation>
    <dataValidation type="list" allowBlank="1" showInputMessage="1" showErrorMessage="1" sqref="C5:G5" xr:uid="{00000000-0002-0000-0500-000004000000}">
      <formula1>$L$3:$L$20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R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5546875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customWidth="1" collapsed="1"/>
    <col min="17" max="17" width="11.44140625" style="2" collapsed="1"/>
    <col min="18" max="18" width="0" style="2" hidden="1" customWidth="1" collapsed="1"/>
    <col min="19" max="16384" width="11.44140625" style="2" collapsed="1"/>
  </cols>
  <sheetData>
    <row r="1" spans="1:18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200" t="s">
        <v>47</v>
      </c>
      <c r="K1" s="201"/>
      <c r="L1" s="78" t="s">
        <v>109</v>
      </c>
    </row>
    <row r="2" spans="1:18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8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8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8" ht="15.75" customHeight="1" x14ac:dyDescent="0.3">
      <c r="A5" s="3"/>
      <c r="B5" s="13" t="s">
        <v>30</v>
      </c>
      <c r="C5" s="136" t="s">
        <v>115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8" ht="15.75" customHeight="1" x14ac:dyDescent="0.3">
      <c r="A6" s="18"/>
      <c r="E6" s="19"/>
      <c r="F6" s="19"/>
      <c r="G6" s="11"/>
      <c r="L6" s="78" t="s">
        <v>114</v>
      </c>
    </row>
    <row r="7" spans="1:18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8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8" ht="18" customHeight="1" x14ac:dyDescent="0.3">
      <c r="A9" s="29">
        <v>1</v>
      </c>
      <c r="B9" s="153" t="s">
        <v>27</v>
      </c>
      <c r="C9" s="154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R9" s="2" t="s">
        <v>2</v>
      </c>
    </row>
    <row r="10" spans="1:18" ht="18" customHeight="1" x14ac:dyDescent="0.3">
      <c r="A10" s="29">
        <v>2</v>
      </c>
      <c r="B10" s="153" t="s">
        <v>26</v>
      </c>
      <c r="C10" s="154"/>
      <c r="D10" s="7">
        <v>3</v>
      </c>
      <c r="E10" s="7">
        <v>3</v>
      </c>
      <c r="F10" s="7">
        <v>3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R10" s="2" t="s">
        <v>46</v>
      </c>
    </row>
    <row r="11" spans="1:18" ht="18" customHeight="1" x14ac:dyDescent="0.3">
      <c r="A11" s="29">
        <v>3</v>
      </c>
      <c r="B11" s="153" t="s">
        <v>29</v>
      </c>
      <c r="C11" s="154"/>
      <c r="D11" s="7">
        <v>3</v>
      </c>
      <c r="E11" s="7">
        <v>3</v>
      </c>
      <c r="F11" s="7">
        <v>3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R11" s="2" t="s">
        <v>92</v>
      </c>
    </row>
    <row r="12" spans="1:18" ht="18" customHeight="1" x14ac:dyDescent="0.3">
      <c r="A12" s="29">
        <v>4</v>
      </c>
      <c r="B12" s="153" t="s">
        <v>28</v>
      </c>
      <c r="C12" s="154"/>
      <c r="D12" s="28">
        <v>3</v>
      </c>
      <c r="E12" s="7">
        <v>3</v>
      </c>
      <c r="F12" s="7">
        <v>3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R12" s="2" t="s">
        <v>12</v>
      </c>
    </row>
    <row r="13" spans="1:18" ht="18" customHeight="1" x14ac:dyDescent="0.3">
      <c r="A13" s="29">
        <v>5</v>
      </c>
      <c r="B13" s="153" t="s">
        <v>20</v>
      </c>
      <c r="C13" s="154"/>
      <c r="D13" s="28">
        <v>3</v>
      </c>
      <c r="E13" s="7">
        <v>3</v>
      </c>
      <c r="F13" s="7">
        <v>3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R13" s="2" t="s">
        <v>45</v>
      </c>
    </row>
    <row r="14" spans="1:18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R14" s="2" t="s">
        <v>11</v>
      </c>
    </row>
    <row r="15" spans="1:18" ht="18" customHeight="1" x14ac:dyDescent="0.3">
      <c r="A15" s="173">
        <v>7</v>
      </c>
      <c r="B15" s="161" t="s">
        <v>22</v>
      </c>
      <c r="C15" s="162"/>
      <c r="D15" s="167">
        <v>3</v>
      </c>
      <c r="E15" s="170">
        <v>3</v>
      </c>
      <c r="F15" s="170">
        <v>3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46"/>
      <c r="J15" s="51" t="s">
        <v>60</v>
      </c>
      <c r="K15" s="46"/>
      <c r="L15" s="78" t="s">
        <v>123</v>
      </c>
      <c r="R15" s="2" t="s">
        <v>93</v>
      </c>
    </row>
    <row r="16" spans="1:18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2"/>
      <c r="J16" s="51" t="s">
        <v>60</v>
      </c>
      <c r="K16" s="46"/>
      <c r="L16" s="78" t="s">
        <v>124</v>
      </c>
      <c r="M16" s="2"/>
      <c r="N16" s="2"/>
      <c r="R16" s="2" t="s">
        <v>94</v>
      </c>
    </row>
    <row r="17" spans="1:18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2"/>
      <c r="J17" s="51" t="s">
        <v>60</v>
      </c>
      <c r="K17" s="46"/>
      <c r="L17" s="78" t="s">
        <v>125</v>
      </c>
      <c r="M17" s="2"/>
      <c r="N17" s="2"/>
      <c r="R17" s="2" t="s">
        <v>13</v>
      </c>
    </row>
    <row r="18" spans="1:18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62"/>
      <c r="J18" s="51" t="s">
        <v>60</v>
      </c>
      <c r="K18" s="46"/>
      <c r="L18" s="78" t="s">
        <v>126</v>
      </c>
      <c r="M18" s="2"/>
      <c r="N18" s="2"/>
      <c r="R18" s="2" t="s">
        <v>6</v>
      </c>
    </row>
    <row r="19" spans="1:18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46"/>
      <c r="J19" s="51" t="s">
        <v>60</v>
      </c>
      <c r="K19" s="46"/>
      <c r="L19" s="78" t="s">
        <v>127</v>
      </c>
      <c r="M19" s="2"/>
      <c r="N19" s="2"/>
      <c r="R19" s="2" t="s">
        <v>76</v>
      </c>
    </row>
    <row r="20" spans="1:18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5"/>
      <c r="J20" s="51" t="s">
        <v>60</v>
      </c>
      <c r="K20" s="46"/>
      <c r="L20" s="78" t="s">
        <v>128</v>
      </c>
      <c r="M20" s="2"/>
      <c r="N20" s="2"/>
      <c r="R20" s="2" t="s">
        <v>7</v>
      </c>
    </row>
    <row r="21" spans="1:18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R21" s="2" t="s">
        <v>95</v>
      </c>
    </row>
    <row r="22" spans="1:18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R22" s="2" t="s">
        <v>96</v>
      </c>
    </row>
    <row r="23" spans="1:18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13"/>
      <c r="I23" s="114"/>
      <c r="J23" s="114"/>
      <c r="K23" s="115"/>
      <c r="M23" s="2"/>
      <c r="N23" s="2"/>
      <c r="R23" s="2" t="s">
        <v>97</v>
      </c>
    </row>
    <row r="24" spans="1:18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R24" s="2" t="s">
        <v>98</v>
      </c>
    </row>
    <row r="25" spans="1:18" ht="18" customHeight="1" x14ac:dyDescent="0.3">
      <c r="A25" s="29">
        <v>10</v>
      </c>
      <c r="B25" s="153" t="s">
        <v>8</v>
      </c>
      <c r="C25" s="154"/>
      <c r="D25" s="28">
        <v>3</v>
      </c>
      <c r="E25" s="7">
        <v>3</v>
      </c>
      <c r="F25" s="7">
        <v>3</v>
      </c>
      <c r="G25" s="22">
        <f t="shared" si="0"/>
        <v>1</v>
      </c>
      <c r="H25" s="130"/>
      <c r="I25" s="130"/>
      <c r="J25" s="130"/>
      <c r="K25" s="130"/>
      <c r="M25" s="2"/>
      <c r="N25" s="2"/>
      <c r="R25" s="2" t="s">
        <v>99</v>
      </c>
    </row>
    <row r="26" spans="1:18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R26" s="2" t="s">
        <v>100</v>
      </c>
    </row>
    <row r="27" spans="1:18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13"/>
      <c r="I27" s="114"/>
      <c r="J27" s="114"/>
      <c r="K27" s="115"/>
      <c r="R27" s="2" t="s">
        <v>101</v>
      </c>
    </row>
    <row r="28" spans="1:18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18" ht="18" customHeight="1" thickBot="1" x14ac:dyDescent="0.35">
      <c r="A29" s="29">
        <v>14</v>
      </c>
      <c r="B29" s="192" t="s">
        <v>68</v>
      </c>
      <c r="C29" s="193"/>
      <c r="D29" s="28">
        <v>3</v>
      </c>
      <c r="E29" s="7">
        <v>3</v>
      </c>
      <c r="F29" s="7">
        <v>3</v>
      </c>
      <c r="G29" s="22">
        <f t="shared" si="0"/>
        <v>1</v>
      </c>
      <c r="H29" s="130"/>
      <c r="I29" s="130"/>
      <c r="J29" s="130"/>
      <c r="K29" s="130"/>
    </row>
    <row r="30" spans="1:18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8" ht="17.25" customHeight="1" x14ac:dyDescent="0.3">
      <c r="A31" s="34"/>
      <c r="E31" s="17"/>
      <c r="F31" s="35"/>
      <c r="G31" s="36"/>
      <c r="H31" s="25"/>
      <c r="I31" s="37"/>
      <c r="J31" s="23"/>
    </row>
    <row r="32" spans="1:18" ht="28.5" customHeight="1" x14ac:dyDescent="0.3">
      <c r="A32" s="182" t="s">
        <v>57</v>
      </c>
      <c r="B32" s="182"/>
      <c r="C32" s="122"/>
      <c r="D32" s="12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15:A22"/>
    <mergeCell ref="B27:C27"/>
    <mergeCell ref="H27:K27"/>
    <mergeCell ref="B28:C28"/>
    <mergeCell ref="H28:K28"/>
    <mergeCell ref="H24:K24"/>
    <mergeCell ref="B25:C25"/>
    <mergeCell ref="H25:K25"/>
    <mergeCell ref="B24:C24"/>
    <mergeCell ref="B23:C23"/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  <mergeCell ref="C5:G5"/>
    <mergeCell ref="I5:J5"/>
    <mergeCell ref="B8:C8"/>
    <mergeCell ref="B9:C9"/>
    <mergeCell ref="A7:K7"/>
    <mergeCell ref="H8:K8"/>
    <mergeCell ref="H9:K9"/>
    <mergeCell ref="J1:K1"/>
    <mergeCell ref="J3:K3"/>
    <mergeCell ref="C1:H3"/>
    <mergeCell ref="B26:C26"/>
    <mergeCell ref="H26:K26"/>
    <mergeCell ref="B11:C11"/>
    <mergeCell ref="B12:C12"/>
    <mergeCell ref="B13:C13"/>
    <mergeCell ref="H11:K11"/>
    <mergeCell ref="B14:C14"/>
    <mergeCell ref="H14:K14"/>
    <mergeCell ref="H12:K12"/>
    <mergeCell ref="H13:K13"/>
    <mergeCell ref="H22:K22"/>
    <mergeCell ref="H23:K23"/>
    <mergeCell ref="A1:B3"/>
    <mergeCell ref="H10:K10"/>
    <mergeCell ref="B15:C22"/>
    <mergeCell ref="D15:D22"/>
    <mergeCell ref="E15:E22"/>
    <mergeCell ref="F15:F22"/>
    <mergeCell ref="B10:C10"/>
    <mergeCell ref="G15:G22"/>
  </mergeCells>
  <dataValidations count="4">
    <dataValidation type="list" allowBlank="1" showInputMessage="1" showErrorMessage="1" sqref="D12:D14 D23:D25 D27:D29 D26:F26" xr:uid="{00000000-0002-0000-0600-000000000000}">
      <formula1>$M$33:$M$49</formula1>
    </dataValidation>
    <dataValidation type="list" allowBlank="1" showInputMessage="1" showErrorMessage="1" sqref="D9" xr:uid="{00000000-0002-0000-0600-000001000000}">
      <formula1>$M$33:$M$48</formula1>
    </dataValidation>
    <dataValidation type="list" allowBlank="1" showInputMessage="1" showErrorMessage="1" sqref="D15 E9:F15 D10:D11 E23:F25 E27:F29" xr:uid="{00000000-0002-0000-0600-000002000000}">
      <formula1>$M$41:$M$55</formula1>
    </dataValidation>
    <dataValidation type="list" allowBlank="1" showInputMessage="1" showErrorMessage="1" sqref="C5:G5" xr:uid="{00000000-0002-0000-06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Q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0.441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4.88671875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35"/>
      <c r="B1" s="135"/>
      <c r="C1" s="145" t="s">
        <v>14</v>
      </c>
      <c r="D1" s="146"/>
      <c r="E1" s="146"/>
      <c r="F1" s="146"/>
      <c r="G1" s="146"/>
      <c r="H1" s="147"/>
      <c r="I1" s="30" t="s">
        <v>23</v>
      </c>
      <c r="J1" s="197" t="s">
        <v>47</v>
      </c>
      <c r="K1" s="198"/>
      <c r="L1" s="78" t="s">
        <v>109</v>
      </c>
    </row>
    <row r="2" spans="1:17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7" x14ac:dyDescent="0.3">
      <c r="A3" s="135"/>
      <c r="B3" s="135"/>
      <c r="C3" s="145"/>
      <c r="D3" s="146"/>
      <c r="E3" s="146"/>
      <c r="F3" s="146"/>
      <c r="G3" s="146"/>
      <c r="H3" s="147"/>
      <c r="I3" s="30" t="s">
        <v>25</v>
      </c>
      <c r="J3" s="140">
        <v>42286</v>
      </c>
      <c r="K3" s="141"/>
      <c r="L3" s="78" t="s">
        <v>111</v>
      </c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7" ht="15.75" customHeight="1" x14ac:dyDescent="0.3">
      <c r="A5" s="3"/>
      <c r="B5" s="13" t="s">
        <v>30</v>
      </c>
      <c r="C5" s="136" t="s">
        <v>116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7" ht="15.75" customHeight="1" x14ac:dyDescent="0.3">
      <c r="A6" s="18"/>
      <c r="E6" s="19"/>
      <c r="F6" s="19"/>
      <c r="G6" s="11"/>
      <c r="L6" s="78" t="s">
        <v>114</v>
      </c>
    </row>
    <row r="7" spans="1:17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7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7" ht="18" customHeight="1" x14ac:dyDescent="0.3">
      <c r="A9" s="29">
        <v>1</v>
      </c>
      <c r="B9" s="153" t="s">
        <v>27</v>
      </c>
      <c r="C9" s="154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</row>
    <row r="10" spans="1:17" ht="18" customHeight="1" x14ac:dyDescent="0.3">
      <c r="A10" s="29">
        <v>2</v>
      </c>
      <c r="B10" s="153" t="s">
        <v>26</v>
      </c>
      <c r="C10" s="154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Q10" s="2" t="s">
        <v>2</v>
      </c>
    </row>
    <row r="11" spans="1:17" ht="18" customHeight="1" x14ac:dyDescent="0.3">
      <c r="A11" s="29">
        <v>3</v>
      </c>
      <c r="B11" s="153" t="s">
        <v>29</v>
      </c>
      <c r="C11" s="154"/>
      <c r="D11" s="28">
        <v>2</v>
      </c>
      <c r="E11" s="7">
        <v>2</v>
      </c>
      <c r="F11" s="7">
        <v>2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Q11" s="2" t="s">
        <v>46</v>
      </c>
    </row>
    <row r="12" spans="1:17" ht="18" customHeight="1" x14ac:dyDescent="0.3">
      <c r="A12" s="29">
        <v>4</v>
      </c>
      <c r="B12" s="153" t="s">
        <v>28</v>
      </c>
      <c r="C12" s="154"/>
      <c r="D12" s="28">
        <v>2</v>
      </c>
      <c r="E12" s="7">
        <v>2</v>
      </c>
      <c r="F12" s="7">
        <v>2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Q12" s="2" t="s">
        <v>92</v>
      </c>
    </row>
    <row r="13" spans="1:17" ht="18" customHeight="1" x14ac:dyDescent="0.3">
      <c r="A13" s="29">
        <v>5</v>
      </c>
      <c r="B13" s="153" t="s">
        <v>20</v>
      </c>
      <c r="C13" s="154"/>
      <c r="D13" s="28">
        <v>2</v>
      </c>
      <c r="E13" s="7">
        <v>2</v>
      </c>
      <c r="F13" s="7">
        <v>2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Q13" s="2" t="s">
        <v>12</v>
      </c>
    </row>
    <row r="14" spans="1:17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Q14" s="2" t="s">
        <v>45</v>
      </c>
    </row>
    <row r="15" spans="1:17" ht="18" customHeight="1" x14ac:dyDescent="0.3">
      <c r="A15" s="173">
        <v>7</v>
      </c>
      <c r="B15" s="161" t="s">
        <v>22</v>
      </c>
      <c r="C15" s="162"/>
      <c r="D15" s="167">
        <v>2</v>
      </c>
      <c r="E15" s="170">
        <v>2</v>
      </c>
      <c r="F15" s="170">
        <v>2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65"/>
      <c r="J15" s="51" t="s">
        <v>60</v>
      </c>
      <c r="K15" s="46"/>
      <c r="L15" s="78" t="s">
        <v>123</v>
      </c>
      <c r="Q15" s="2" t="s">
        <v>11</v>
      </c>
    </row>
    <row r="16" spans="1:17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7"/>
      <c r="J16" s="51" t="s">
        <v>60</v>
      </c>
      <c r="K16" s="46"/>
      <c r="L16" s="78" t="s">
        <v>124</v>
      </c>
      <c r="M16" s="2"/>
      <c r="N16" s="2"/>
      <c r="Q16" s="2" t="s">
        <v>93</v>
      </c>
    </row>
    <row r="17" spans="1:17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8"/>
      <c r="J17" s="51" t="s">
        <v>60</v>
      </c>
      <c r="K17" s="46"/>
      <c r="L17" s="78" t="s">
        <v>125</v>
      </c>
      <c r="M17" s="2"/>
      <c r="N17" s="2"/>
      <c r="Q17" s="2" t="s">
        <v>94</v>
      </c>
    </row>
    <row r="18" spans="1:17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68"/>
      <c r="J18" s="51" t="s">
        <v>60</v>
      </c>
      <c r="K18" s="46"/>
      <c r="L18" s="78" t="s">
        <v>126</v>
      </c>
      <c r="M18" s="2"/>
      <c r="N18" s="2"/>
      <c r="Q18" s="2" t="s">
        <v>13</v>
      </c>
    </row>
    <row r="19" spans="1:17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68"/>
      <c r="J19" s="51" t="s">
        <v>60</v>
      </c>
      <c r="K19" s="46"/>
      <c r="L19" s="78" t="s">
        <v>127</v>
      </c>
      <c r="M19" s="2"/>
      <c r="N19" s="2"/>
      <c r="Q19" s="2" t="s">
        <v>6</v>
      </c>
    </row>
    <row r="20" spans="1:17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68"/>
      <c r="J20" s="51" t="s">
        <v>60</v>
      </c>
      <c r="K20" s="46"/>
      <c r="L20" s="78" t="s">
        <v>128</v>
      </c>
      <c r="M20" s="2"/>
      <c r="N20" s="2"/>
      <c r="Q20" s="2" t="s">
        <v>76</v>
      </c>
    </row>
    <row r="21" spans="1:17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Q21" s="2" t="s">
        <v>7</v>
      </c>
    </row>
    <row r="22" spans="1:17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Q22" s="2" t="s">
        <v>95</v>
      </c>
    </row>
    <row r="23" spans="1:17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Q23" s="2" t="s">
        <v>96</v>
      </c>
    </row>
    <row r="24" spans="1:17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Q24" s="2" t="s">
        <v>97</v>
      </c>
    </row>
    <row r="25" spans="1:17" ht="18" customHeight="1" x14ac:dyDescent="0.3">
      <c r="A25" s="29">
        <v>10</v>
      </c>
      <c r="B25" s="153" t="s">
        <v>8</v>
      </c>
      <c r="C25" s="154"/>
      <c r="D25" s="28">
        <v>3</v>
      </c>
      <c r="E25" s="7">
        <v>3</v>
      </c>
      <c r="F25" s="7">
        <v>3</v>
      </c>
      <c r="G25" s="22">
        <f t="shared" si="0"/>
        <v>1</v>
      </c>
      <c r="H25" s="130"/>
      <c r="I25" s="130"/>
      <c r="J25" s="130"/>
      <c r="K25" s="130"/>
      <c r="M25" s="2"/>
      <c r="N25" s="2"/>
      <c r="Q25" s="2" t="s">
        <v>98</v>
      </c>
    </row>
    <row r="26" spans="1:17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Q26" s="2" t="s">
        <v>99</v>
      </c>
    </row>
    <row r="27" spans="1:17" ht="18" customHeight="1" x14ac:dyDescent="0.3">
      <c r="A27" s="29">
        <v>12</v>
      </c>
      <c r="B27" s="178" t="s">
        <v>58</v>
      </c>
      <c r="C27" s="179"/>
      <c r="D27" s="77">
        <v>1</v>
      </c>
      <c r="E27" s="7">
        <v>1</v>
      </c>
      <c r="F27" s="7">
        <v>1</v>
      </c>
      <c r="G27" s="22">
        <f t="shared" si="0"/>
        <v>1</v>
      </c>
      <c r="H27" s="113"/>
      <c r="I27" s="114"/>
      <c r="J27" s="114"/>
      <c r="K27" s="115"/>
      <c r="Q27" s="2" t="s">
        <v>100</v>
      </c>
    </row>
    <row r="28" spans="1:17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  <c r="Q28" s="2" t="s">
        <v>101</v>
      </c>
    </row>
    <row r="29" spans="1:17" ht="18" customHeight="1" thickBot="1" x14ac:dyDescent="0.35">
      <c r="A29" s="29">
        <v>14</v>
      </c>
      <c r="B29" s="192" t="s">
        <v>68</v>
      </c>
      <c r="C29" s="193"/>
      <c r="D29" s="28">
        <v>2</v>
      </c>
      <c r="E29" s="7">
        <v>2</v>
      </c>
      <c r="F29" s="7">
        <v>2</v>
      </c>
      <c r="G29" s="22">
        <f t="shared" si="0"/>
        <v>1</v>
      </c>
      <c r="H29" s="130"/>
      <c r="I29" s="130"/>
      <c r="J29" s="130"/>
      <c r="K29" s="130"/>
    </row>
    <row r="30" spans="1:17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30:F30"/>
    <mergeCell ref="G30:K30"/>
    <mergeCell ref="A15:A22"/>
    <mergeCell ref="B15:C22"/>
    <mergeCell ref="D15:D22"/>
    <mergeCell ref="E15:E22"/>
    <mergeCell ref="F15:F22"/>
    <mergeCell ref="B27:C27"/>
    <mergeCell ref="H27:K27"/>
    <mergeCell ref="H22:K22"/>
    <mergeCell ref="H23:K23"/>
    <mergeCell ref="H24:K24"/>
    <mergeCell ref="B25:C25"/>
    <mergeCell ref="H25:K25"/>
    <mergeCell ref="B24:C24"/>
    <mergeCell ref="B23:C23"/>
    <mergeCell ref="A35:K36"/>
    <mergeCell ref="A32:B32"/>
    <mergeCell ref="C32:D32"/>
    <mergeCell ref="A33:B33"/>
    <mergeCell ref="C33:D33"/>
    <mergeCell ref="G15:G22"/>
    <mergeCell ref="B29:C29"/>
    <mergeCell ref="H29:K29"/>
    <mergeCell ref="B28:C28"/>
    <mergeCell ref="H28:K28"/>
    <mergeCell ref="B26:C26"/>
    <mergeCell ref="H26:K26"/>
    <mergeCell ref="B10:C10"/>
    <mergeCell ref="A1:B3"/>
    <mergeCell ref="C5:G5"/>
    <mergeCell ref="I5:J5"/>
    <mergeCell ref="B8:C8"/>
    <mergeCell ref="B9:C9"/>
    <mergeCell ref="A7:K7"/>
    <mergeCell ref="H8:K8"/>
    <mergeCell ref="H9:K9"/>
    <mergeCell ref="H10:K10"/>
    <mergeCell ref="J1:K1"/>
    <mergeCell ref="J3:K3"/>
    <mergeCell ref="C1:H3"/>
    <mergeCell ref="B11:C11"/>
    <mergeCell ref="B12:C12"/>
    <mergeCell ref="B13:C13"/>
    <mergeCell ref="H11:K11"/>
    <mergeCell ref="B14:C14"/>
    <mergeCell ref="H14:K14"/>
    <mergeCell ref="H12:K12"/>
    <mergeCell ref="H13:K13"/>
  </mergeCells>
  <dataValidations count="4">
    <dataValidation type="list" allowBlank="1" showInputMessage="1" showErrorMessage="1" sqref="D9" xr:uid="{00000000-0002-0000-0700-000000000000}">
      <formula1>$M$33:$M$48</formula1>
    </dataValidation>
    <dataValidation type="list" allowBlank="1" showInputMessage="1" showErrorMessage="1" sqref="D10:D14 D23:D25 D27:D29 D26:F26" xr:uid="{00000000-0002-0000-0700-000001000000}">
      <formula1>$M$33:$M$49</formula1>
    </dataValidation>
    <dataValidation type="list" allowBlank="1" showInputMessage="1" showErrorMessage="1" sqref="D15 E9:F15 E23:F25 E27:F29" xr:uid="{00000000-0002-0000-0700-000002000000}">
      <formula1>$M$41:$M$55</formula1>
    </dataValidation>
    <dataValidation type="list" allowBlank="1" showInputMessage="1" showErrorMessage="1" sqref="C5:G5" xr:uid="{00000000-0002-0000-07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P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2.88671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.33203125" style="2" customWidth="1" collapsed="1"/>
    <col min="12" max="12" width="14.44140625" style="2" hidden="1" customWidth="1" collapsed="1"/>
    <col min="13" max="14" width="11.44140625" style="6" customWidth="1" collapsed="1"/>
    <col min="15" max="15" width="11.44140625" style="2" customWidth="1" collapsed="1"/>
    <col min="16" max="16" width="11.44140625" style="2" hidden="1" customWidth="1" collapsed="1"/>
    <col min="17" max="19" width="11.44140625" style="2" customWidth="1" collapsed="1"/>
    <col min="20" max="16384" width="11.44140625" style="2" collapsed="1"/>
  </cols>
  <sheetData>
    <row r="1" spans="1:16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7" t="s">
        <v>47</v>
      </c>
      <c r="K1" s="198"/>
      <c r="L1" s="78" t="s">
        <v>109</v>
      </c>
    </row>
    <row r="2" spans="1:16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6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6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6" ht="15.75" customHeight="1" x14ac:dyDescent="0.3">
      <c r="A5" s="3"/>
      <c r="B5" s="13" t="s">
        <v>30</v>
      </c>
      <c r="C5" s="136" t="s">
        <v>117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6" ht="15.75" customHeight="1" x14ac:dyDescent="0.3">
      <c r="A6" s="18"/>
      <c r="E6" s="19"/>
      <c r="F6" s="19"/>
      <c r="G6" s="11"/>
      <c r="L6" s="78" t="s">
        <v>114</v>
      </c>
    </row>
    <row r="7" spans="1:16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6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6" ht="18" customHeight="1" x14ac:dyDescent="0.3">
      <c r="A9" s="29">
        <v>1</v>
      </c>
      <c r="B9" s="153" t="s">
        <v>27</v>
      </c>
      <c r="C9" s="154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P9" s="2" t="s">
        <v>2</v>
      </c>
    </row>
    <row r="10" spans="1:16" ht="18" customHeight="1" x14ac:dyDescent="0.3">
      <c r="A10" s="29">
        <v>2</v>
      </c>
      <c r="B10" s="153" t="s">
        <v>26</v>
      </c>
      <c r="C10" s="154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P10" s="2" t="s">
        <v>46</v>
      </c>
    </row>
    <row r="11" spans="1:16" ht="18" customHeight="1" x14ac:dyDescent="0.3">
      <c r="A11" s="29">
        <v>3</v>
      </c>
      <c r="B11" s="153" t="s">
        <v>29</v>
      </c>
      <c r="C11" s="154"/>
      <c r="D11" s="28">
        <v>2</v>
      </c>
      <c r="E11" s="7">
        <v>2</v>
      </c>
      <c r="F11" s="7">
        <v>2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P11" s="2" t="s">
        <v>92</v>
      </c>
    </row>
    <row r="12" spans="1:16" ht="18" customHeight="1" x14ac:dyDescent="0.3">
      <c r="A12" s="29">
        <v>4</v>
      </c>
      <c r="B12" s="153" t="s">
        <v>28</v>
      </c>
      <c r="C12" s="154"/>
      <c r="D12" s="28">
        <v>2</v>
      </c>
      <c r="E12" s="7">
        <v>2</v>
      </c>
      <c r="F12" s="7">
        <v>2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P12" s="2" t="s">
        <v>12</v>
      </c>
    </row>
    <row r="13" spans="1:16" ht="18" customHeight="1" x14ac:dyDescent="0.3">
      <c r="A13" s="29">
        <v>5</v>
      </c>
      <c r="B13" s="153" t="s">
        <v>20</v>
      </c>
      <c r="C13" s="154"/>
      <c r="D13" s="28">
        <v>2</v>
      </c>
      <c r="E13" s="7">
        <v>2</v>
      </c>
      <c r="F13" s="7">
        <v>2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P13" s="2" t="s">
        <v>45</v>
      </c>
    </row>
    <row r="14" spans="1:16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P14" s="2" t="s">
        <v>11</v>
      </c>
    </row>
    <row r="15" spans="1:16" ht="18" customHeight="1" x14ac:dyDescent="0.3">
      <c r="A15" s="173">
        <v>7</v>
      </c>
      <c r="B15" s="161" t="s">
        <v>22</v>
      </c>
      <c r="C15" s="162"/>
      <c r="D15" s="167">
        <v>2</v>
      </c>
      <c r="E15" s="170">
        <v>2</v>
      </c>
      <c r="F15" s="170">
        <v>2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70"/>
      <c r="J15" s="51" t="s">
        <v>60</v>
      </c>
      <c r="K15" s="46"/>
      <c r="L15" s="78" t="s">
        <v>123</v>
      </c>
      <c r="P15" s="2" t="s">
        <v>93</v>
      </c>
    </row>
    <row r="16" spans="1:16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71"/>
      <c r="J16" s="51" t="s">
        <v>60</v>
      </c>
      <c r="K16" s="46"/>
      <c r="L16" s="78" t="s">
        <v>124</v>
      </c>
      <c r="M16" s="2"/>
      <c r="N16" s="2"/>
      <c r="P16" s="2" t="s">
        <v>94</v>
      </c>
    </row>
    <row r="17" spans="1:16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70"/>
      <c r="J17" s="51" t="s">
        <v>60</v>
      </c>
      <c r="K17" s="46"/>
      <c r="L17" s="78" t="s">
        <v>125</v>
      </c>
      <c r="M17" s="2"/>
      <c r="N17" s="2"/>
      <c r="P17" s="2" t="s">
        <v>13</v>
      </c>
    </row>
    <row r="18" spans="1:16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62"/>
      <c r="J18" s="51" t="s">
        <v>60</v>
      </c>
      <c r="K18" s="46"/>
      <c r="L18" s="78" t="s">
        <v>126</v>
      </c>
      <c r="M18" s="2"/>
      <c r="N18" s="2"/>
      <c r="P18" s="2" t="s">
        <v>6</v>
      </c>
    </row>
    <row r="19" spans="1:16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46"/>
      <c r="J19" s="51" t="s">
        <v>60</v>
      </c>
      <c r="K19" s="46"/>
      <c r="L19" s="78" t="s">
        <v>127</v>
      </c>
      <c r="M19" s="2"/>
      <c r="N19" s="2"/>
      <c r="P19" s="2" t="s">
        <v>76</v>
      </c>
    </row>
    <row r="20" spans="1:16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5"/>
      <c r="J20" s="51" t="s">
        <v>60</v>
      </c>
      <c r="K20" s="46"/>
      <c r="L20" s="78" t="s">
        <v>128</v>
      </c>
      <c r="M20" s="2"/>
      <c r="N20" s="2"/>
      <c r="P20" s="2" t="s">
        <v>7</v>
      </c>
    </row>
    <row r="21" spans="1:16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P21" s="2" t="s">
        <v>95</v>
      </c>
    </row>
    <row r="22" spans="1:16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P22" s="2" t="s">
        <v>96</v>
      </c>
    </row>
    <row r="23" spans="1:16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P23" s="2" t="s">
        <v>97</v>
      </c>
    </row>
    <row r="24" spans="1:16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P24" s="2" t="s">
        <v>98</v>
      </c>
    </row>
    <row r="25" spans="1:16" ht="18" customHeight="1" x14ac:dyDescent="0.3">
      <c r="A25" s="29">
        <v>10</v>
      </c>
      <c r="B25" s="153" t="s">
        <v>8</v>
      </c>
      <c r="C25" s="154"/>
      <c r="D25" s="28">
        <v>2</v>
      </c>
      <c r="E25" s="7">
        <v>2</v>
      </c>
      <c r="F25" s="7">
        <v>2</v>
      </c>
      <c r="G25" s="22">
        <f t="shared" si="0"/>
        <v>1</v>
      </c>
      <c r="H25" s="130"/>
      <c r="I25" s="130"/>
      <c r="J25" s="130"/>
      <c r="K25" s="130"/>
      <c r="M25" s="2"/>
      <c r="N25" s="2"/>
      <c r="P25" s="2" t="s">
        <v>99</v>
      </c>
    </row>
    <row r="26" spans="1:16" ht="18" customHeight="1" x14ac:dyDescent="0.3">
      <c r="A26" s="29">
        <v>11</v>
      </c>
      <c r="B26" s="202" t="s">
        <v>103</v>
      </c>
      <c r="C26" s="202"/>
      <c r="D26" s="28">
        <v>0</v>
      </c>
      <c r="E26" s="28">
        <v>1</v>
      </c>
      <c r="F26" s="28">
        <v>1</v>
      </c>
      <c r="G26" s="22" t="str">
        <f t="shared" si="0"/>
        <v>-</v>
      </c>
      <c r="H26" s="130"/>
      <c r="I26" s="130"/>
      <c r="J26" s="130"/>
      <c r="K26" s="130"/>
      <c r="M26" s="2"/>
      <c r="N26" s="2"/>
      <c r="P26" s="2" t="s">
        <v>100</v>
      </c>
    </row>
    <row r="27" spans="1:16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P27" s="2" t="s">
        <v>101</v>
      </c>
    </row>
    <row r="28" spans="1:16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16" ht="18" customHeight="1" thickBot="1" x14ac:dyDescent="0.35">
      <c r="A29" s="29">
        <v>14</v>
      </c>
      <c r="B29" s="192" t="s">
        <v>68</v>
      </c>
      <c r="C29" s="193"/>
      <c r="D29" s="28">
        <v>2</v>
      </c>
      <c r="E29" s="7">
        <v>2</v>
      </c>
      <c r="F29" s="7">
        <v>2</v>
      </c>
      <c r="G29" s="22">
        <f t="shared" si="0"/>
        <v>1</v>
      </c>
      <c r="H29" s="130"/>
      <c r="I29" s="130"/>
      <c r="J29" s="130"/>
      <c r="K29" s="130"/>
    </row>
    <row r="30" spans="1:16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6" ht="17.25" customHeight="1" x14ac:dyDescent="0.3">
      <c r="A31" s="34"/>
      <c r="E31" s="17"/>
      <c r="F31" s="35"/>
      <c r="G31" s="36"/>
      <c r="H31" s="25"/>
      <c r="I31" s="37"/>
      <c r="J31" s="23"/>
    </row>
    <row r="32" spans="1:16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ht="28.5" customHeight="1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35:K36"/>
    <mergeCell ref="A32:B32"/>
    <mergeCell ref="C32:D32"/>
    <mergeCell ref="A33:B33"/>
    <mergeCell ref="C33:D33"/>
    <mergeCell ref="B27:C27"/>
    <mergeCell ref="H27:K27"/>
    <mergeCell ref="B28:C28"/>
    <mergeCell ref="H28:K28"/>
    <mergeCell ref="A30:F30"/>
    <mergeCell ref="G30:K30"/>
    <mergeCell ref="B29:C29"/>
    <mergeCell ref="H29:K29"/>
    <mergeCell ref="B26:C26"/>
    <mergeCell ref="H26:K26"/>
    <mergeCell ref="B11:C11"/>
    <mergeCell ref="B12:C12"/>
    <mergeCell ref="B13:C13"/>
    <mergeCell ref="H23:K23"/>
    <mergeCell ref="H24:K24"/>
    <mergeCell ref="B25:C25"/>
    <mergeCell ref="H25:K25"/>
    <mergeCell ref="B24:C24"/>
    <mergeCell ref="B23:C23"/>
    <mergeCell ref="H11:K11"/>
    <mergeCell ref="H12:K12"/>
    <mergeCell ref="H13:K13"/>
    <mergeCell ref="H14:K14"/>
    <mergeCell ref="G15:G22"/>
    <mergeCell ref="J3:K3"/>
    <mergeCell ref="J1:K1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H22:K22"/>
    <mergeCell ref="B14:C14"/>
    <mergeCell ref="A15:A22"/>
    <mergeCell ref="B15:C22"/>
    <mergeCell ref="D15:D22"/>
    <mergeCell ref="E15:E22"/>
    <mergeCell ref="F15:F22"/>
  </mergeCells>
  <dataValidations count="5">
    <dataValidation type="list" allowBlank="1" showInputMessage="1" showErrorMessage="1" sqref="D10:D14 D23:D25 D27:D28" xr:uid="{00000000-0002-0000-0800-000000000000}">
      <formula1>$M$34:$M$50</formula1>
    </dataValidation>
    <dataValidation type="list" allowBlank="1" showInputMessage="1" showErrorMessage="1" sqref="D9" xr:uid="{00000000-0002-0000-0800-000001000000}">
      <formula1>$M$34:$M$49</formula1>
    </dataValidation>
    <dataValidation type="list" allowBlank="1" showInputMessage="1" showErrorMessage="1" sqref="D15 E9:F15 E23:F25 E27:F29" xr:uid="{00000000-0002-0000-0800-000002000000}">
      <formula1>$M$41:$M$55</formula1>
    </dataValidation>
    <dataValidation type="list" allowBlank="1" showInputMessage="1" showErrorMessage="1" sqref="D29 D26:F26" xr:uid="{00000000-0002-0000-0800-000003000000}">
      <formula1>$M$33:$M$49</formula1>
    </dataValidation>
    <dataValidation type="list" allowBlank="1" showInputMessage="1" showErrorMessage="1" sqref="C5:G5" xr:uid="{00000000-0002-0000-0800-000004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P63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1.66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88671875" style="2" customWidth="1" collapsed="1"/>
    <col min="12" max="12" width="14.44140625" style="2" hidden="1" customWidth="1" collapsed="1"/>
    <col min="13" max="14" width="11.44140625" style="6" customWidth="1" collapsed="1"/>
    <col min="15" max="15" width="11.44140625" style="2" customWidth="1" collapsed="1"/>
    <col min="16" max="16" width="11.44140625" style="2" hidden="1" customWidth="1" collapsed="1"/>
    <col min="17" max="16384" width="11.44140625" style="2" collapsed="1"/>
  </cols>
  <sheetData>
    <row r="1" spans="1:16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7" t="s">
        <v>47</v>
      </c>
      <c r="K1" s="198"/>
      <c r="L1" s="78" t="s">
        <v>109</v>
      </c>
    </row>
    <row r="2" spans="1:16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6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6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6" ht="15.75" customHeight="1" x14ac:dyDescent="0.3">
      <c r="A5" s="3"/>
      <c r="B5" s="13" t="s">
        <v>30</v>
      </c>
      <c r="C5" s="136" t="s">
        <v>118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6" ht="15.75" customHeight="1" x14ac:dyDescent="0.3">
      <c r="A6" s="18"/>
      <c r="E6" s="19"/>
      <c r="F6" s="19"/>
      <c r="G6" s="11"/>
      <c r="L6" s="78" t="s">
        <v>114</v>
      </c>
    </row>
    <row r="7" spans="1:16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6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6" ht="18" customHeight="1" x14ac:dyDescent="0.3">
      <c r="A9" s="29">
        <v>1</v>
      </c>
      <c r="B9" s="153" t="s">
        <v>27</v>
      </c>
      <c r="C9" s="154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P9" s="2" t="s">
        <v>2</v>
      </c>
    </row>
    <row r="10" spans="1:16" ht="18" customHeight="1" x14ac:dyDescent="0.3">
      <c r="A10" s="29">
        <v>2</v>
      </c>
      <c r="B10" s="153" t="s">
        <v>26</v>
      </c>
      <c r="C10" s="154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P10" s="2" t="s">
        <v>46</v>
      </c>
    </row>
    <row r="11" spans="1:16" ht="18" customHeight="1" x14ac:dyDescent="0.3">
      <c r="A11" s="29">
        <v>3</v>
      </c>
      <c r="B11" s="153" t="s">
        <v>29</v>
      </c>
      <c r="C11" s="154"/>
      <c r="D11" s="28">
        <v>2</v>
      </c>
      <c r="E11" s="7">
        <v>2</v>
      </c>
      <c r="F11" s="7">
        <v>2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P11" s="2" t="s">
        <v>92</v>
      </c>
    </row>
    <row r="12" spans="1:16" ht="18" customHeight="1" x14ac:dyDescent="0.3">
      <c r="A12" s="29">
        <v>4</v>
      </c>
      <c r="B12" s="153" t="s">
        <v>28</v>
      </c>
      <c r="C12" s="154"/>
      <c r="D12" s="28">
        <v>2</v>
      </c>
      <c r="E12" s="7">
        <v>2</v>
      </c>
      <c r="F12" s="7">
        <v>2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P12" s="2" t="s">
        <v>12</v>
      </c>
    </row>
    <row r="13" spans="1:16" ht="18" customHeight="1" x14ac:dyDescent="0.3">
      <c r="A13" s="29">
        <v>5</v>
      </c>
      <c r="B13" s="153" t="s">
        <v>20</v>
      </c>
      <c r="C13" s="154"/>
      <c r="D13" s="28">
        <v>2</v>
      </c>
      <c r="E13" s="7">
        <v>2</v>
      </c>
      <c r="F13" s="7">
        <v>2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P13" s="2" t="s">
        <v>45</v>
      </c>
    </row>
    <row r="14" spans="1:16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P14" s="2" t="s">
        <v>11</v>
      </c>
    </row>
    <row r="15" spans="1:16" ht="18" customHeight="1" x14ac:dyDescent="0.3">
      <c r="A15" s="173">
        <v>7</v>
      </c>
      <c r="B15" s="161" t="s">
        <v>22</v>
      </c>
      <c r="C15" s="162"/>
      <c r="D15" s="167">
        <v>2</v>
      </c>
      <c r="E15" s="170">
        <v>2</v>
      </c>
      <c r="F15" s="170">
        <v>2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65"/>
      <c r="J15" s="51" t="s">
        <v>60</v>
      </c>
      <c r="K15" s="46"/>
      <c r="L15" s="78" t="s">
        <v>123</v>
      </c>
      <c r="P15" s="2" t="s">
        <v>93</v>
      </c>
    </row>
    <row r="16" spans="1:16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9"/>
      <c r="J16" s="51" t="s">
        <v>60</v>
      </c>
      <c r="K16" s="46"/>
      <c r="L16" s="78" t="s">
        <v>124</v>
      </c>
      <c r="M16" s="2"/>
      <c r="N16" s="2"/>
      <c r="P16" s="2" t="s">
        <v>94</v>
      </c>
    </row>
    <row r="17" spans="1:16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9"/>
      <c r="J17" s="51" t="s">
        <v>60</v>
      </c>
      <c r="K17" s="46"/>
      <c r="L17" s="78" t="s">
        <v>125</v>
      </c>
      <c r="M17" s="2"/>
      <c r="N17" s="2"/>
      <c r="P17" s="2" t="s">
        <v>13</v>
      </c>
    </row>
    <row r="18" spans="1:16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69"/>
      <c r="J18" s="51" t="s">
        <v>60</v>
      </c>
      <c r="K18" s="46"/>
      <c r="L18" s="78" t="s">
        <v>126</v>
      </c>
      <c r="M18" s="2"/>
      <c r="N18" s="2"/>
      <c r="P18" s="2" t="s">
        <v>6</v>
      </c>
    </row>
    <row r="19" spans="1:16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46"/>
      <c r="J19" s="51" t="s">
        <v>60</v>
      </c>
      <c r="K19" s="46"/>
      <c r="L19" s="78" t="s">
        <v>127</v>
      </c>
      <c r="M19" s="2"/>
      <c r="N19" s="2"/>
      <c r="P19" s="2" t="s">
        <v>76</v>
      </c>
    </row>
    <row r="20" spans="1:16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5"/>
      <c r="J20" s="51" t="s">
        <v>60</v>
      </c>
      <c r="K20" s="46"/>
      <c r="L20" s="78" t="s">
        <v>128</v>
      </c>
      <c r="M20" s="2"/>
      <c r="N20" s="2"/>
      <c r="P20" s="2" t="s">
        <v>7</v>
      </c>
    </row>
    <row r="21" spans="1:16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P21" s="2" t="s">
        <v>95</v>
      </c>
    </row>
    <row r="22" spans="1:16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P22" s="2" t="s">
        <v>96</v>
      </c>
    </row>
    <row r="23" spans="1:16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P23" s="2" t="s">
        <v>97</v>
      </c>
    </row>
    <row r="24" spans="1:16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P24" s="2" t="s">
        <v>98</v>
      </c>
    </row>
    <row r="25" spans="1:16" ht="18" customHeight="1" x14ac:dyDescent="0.3">
      <c r="A25" s="29">
        <v>10</v>
      </c>
      <c r="B25" s="153" t="s">
        <v>8</v>
      </c>
      <c r="C25" s="154"/>
      <c r="D25" s="28">
        <v>2</v>
      </c>
      <c r="E25" s="7">
        <v>2</v>
      </c>
      <c r="F25" s="7">
        <v>2</v>
      </c>
      <c r="G25" s="22">
        <f t="shared" si="0"/>
        <v>1</v>
      </c>
      <c r="H25" s="130" t="s">
        <v>107</v>
      </c>
      <c r="I25" s="130"/>
      <c r="J25" s="130"/>
      <c r="K25" s="130"/>
      <c r="M25" s="2"/>
      <c r="N25" s="2"/>
      <c r="P25" s="2" t="s">
        <v>99</v>
      </c>
    </row>
    <row r="26" spans="1:16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P26" s="2" t="s">
        <v>100</v>
      </c>
    </row>
    <row r="27" spans="1:16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P27" s="2" t="s">
        <v>101</v>
      </c>
    </row>
    <row r="28" spans="1:16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16" ht="18" customHeight="1" thickBot="1" x14ac:dyDescent="0.35">
      <c r="A29" s="29">
        <v>14</v>
      </c>
      <c r="B29" s="192" t="s">
        <v>68</v>
      </c>
      <c r="C29" s="193"/>
      <c r="D29" s="28">
        <v>2</v>
      </c>
      <c r="E29" s="7">
        <v>2</v>
      </c>
      <c r="F29" s="7">
        <v>2</v>
      </c>
      <c r="G29" s="22">
        <f t="shared" si="0"/>
        <v>1</v>
      </c>
      <c r="H29" s="130"/>
      <c r="I29" s="130"/>
      <c r="J29" s="130"/>
      <c r="K29" s="130"/>
    </row>
    <row r="30" spans="1:16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6" ht="17.25" customHeight="1" x14ac:dyDescent="0.3">
      <c r="A31" s="34"/>
      <c r="E31" s="17"/>
      <c r="F31" s="35"/>
      <c r="G31" s="36"/>
      <c r="H31" s="25"/>
      <c r="I31" s="37"/>
      <c r="J31" s="23"/>
    </row>
    <row r="32" spans="1:16" ht="28.5" customHeight="1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  <row r="62" spans="5:15" x14ac:dyDescent="0.3">
      <c r="K62" s="1"/>
    </row>
    <row r="63" spans="5:15" x14ac:dyDescent="0.3">
      <c r="K63" s="1"/>
    </row>
  </sheetData>
  <sheetProtection selectLockedCells="1"/>
  <dataConsolidate/>
  <mergeCells count="49">
    <mergeCell ref="A15:A22"/>
    <mergeCell ref="B27:C27"/>
    <mergeCell ref="H27:K27"/>
    <mergeCell ref="B28:C28"/>
    <mergeCell ref="H28:K28"/>
    <mergeCell ref="H24:K24"/>
    <mergeCell ref="B25:C25"/>
    <mergeCell ref="H25:K25"/>
    <mergeCell ref="B24:C24"/>
    <mergeCell ref="B23:C23"/>
    <mergeCell ref="A30:F30"/>
    <mergeCell ref="G30:K30"/>
    <mergeCell ref="B29:C29"/>
    <mergeCell ref="H29:K29"/>
    <mergeCell ref="A35:K36"/>
    <mergeCell ref="A32:B32"/>
    <mergeCell ref="C32:D32"/>
    <mergeCell ref="A33:B33"/>
    <mergeCell ref="C33:D33"/>
    <mergeCell ref="C5:G5"/>
    <mergeCell ref="I5:J5"/>
    <mergeCell ref="B8:C8"/>
    <mergeCell ref="B9:C9"/>
    <mergeCell ref="A7:K7"/>
    <mergeCell ref="H8:K8"/>
    <mergeCell ref="H9:K9"/>
    <mergeCell ref="J1:K1"/>
    <mergeCell ref="J3:K3"/>
    <mergeCell ref="C1:H3"/>
    <mergeCell ref="B26:C26"/>
    <mergeCell ref="H26:K26"/>
    <mergeCell ref="B11:C11"/>
    <mergeCell ref="B12:C12"/>
    <mergeCell ref="B13:C13"/>
    <mergeCell ref="H11:K11"/>
    <mergeCell ref="B14:C14"/>
    <mergeCell ref="H14:K14"/>
    <mergeCell ref="H12:K12"/>
    <mergeCell ref="H13:K13"/>
    <mergeCell ref="H22:K22"/>
    <mergeCell ref="H23:K23"/>
    <mergeCell ref="A1:B3"/>
    <mergeCell ref="H10:K10"/>
    <mergeCell ref="B15:C22"/>
    <mergeCell ref="D15:D22"/>
    <mergeCell ref="E15:E22"/>
    <mergeCell ref="F15:F22"/>
    <mergeCell ref="B10:C10"/>
    <mergeCell ref="G15:G22"/>
  </mergeCells>
  <dataValidations count="4">
    <dataValidation type="list" allowBlank="1" showInputMessage="1" showErrorMessage="1" sqref="D9" xr:uid="{00000000-0002-0000-0900-000000000000}">
      <formula1>$M$33:$M$48</formula1>
    </dataValidation>
    <dataValidation type="list" allowBlank="1" showInputMessage="1" showErrorMessage="1" sqref="D10:D14 D23:D25 D27:D29 D26:F26" xr:uid="{00000000-0002-0000-0900-000001000000}">
      <formula1>$M$33:$M$49</formula1>
    </dataValidation>
    <dataValidation type="list" allowBlank="1" showInputMessage="1" showErrorMessage="1" sqref="D15 E9:F15 E23:F25 E27:F29" xr:uid="{00000000-0002-0000-0900-000002000000}">
      <formula1>$M$41:$M$55</formula1>
    </dataValidation>
    <dataValidation type="list" allowBlank="1" showInputMessage="1" showErrorMessage="1" sqref="C5:G5" xr:uid="{00000000-0002-0000-09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Q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1.66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7" t="s">
        <v>47</v>
      </c>
      <c r="K1" s="198"/>
      <c r="L1" s="78" t="s">
        <v>109</v>
      </c>
    </row>
    <row r="2" spans="1:17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7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7" ht="15.75" customHeight="1" x14ac:dyDescent="0.3">
      <c r="A5" s="3"/>
      <c r="B5" s="13" t="s">
        <v>30</v>
      </c>
      <c r="C5" s="136" t="s">
        <v>119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7" ht="15.75" customHeight="1" x14ac:dyDescent="0.3">
      <c r="A6" s="18"/>
      <c r="E6" s="19"/>
      <c r="F6" s="19"/>
      <c r="G6" s="11"/>
      <c r="L6" s="78" t="s">
        <v>114</v>
      </c>
    </row>
    <row r="7" spans="1:17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7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7" ht="18" customHeight="1" x14ac:dyDescent="0.3">
      <c r="A9" s="29">
        <v>1</v>
      </c>
      <c r="B9" s="153" t="s">
        <v>27</v>
      </c>
      <c r="C9" s="154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Q9" s="2" t="s">
        <v>2</v>
      </c>
    </row>
    <row r="10" spans="1:17" ht="18" customHeight="1" x14ac:dyDescent="0.3">
      <c r="A10" s="29">
        <v>2</v>
      </c>
      <c r="B10" s="153" t="s">
        <v>26</v>
      </c>
      <c r="C10" s="154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Q10" s="2" t="s">
        <v>46</v>
      </c>
    </row>
    <row r="11" spans="1:17" ht="18" customHeight="1" x14ac:dyDescent="0.3">
      <c r="A11" s="29">
        <v>3</v>
      </c>
      <c r="B11" s="153" t="s">
        <v>29</v>
      </c>
      <c r="C11" s="154"/>
      <c r="D11" s="28">
        <v>2</v>
      </c>
      <c r="E11" s="7">
        <v>2</v>
      </c>
      <c r="F11" s="7">
        <v>2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Q11" s="2" t="s">
        <v>92</v>
      </c>
    </row>
    <row r="12" spans="1:17" ht="18" customHeight="1" x14ac:dyDescent="0.3">
      <c r="A12" s="29">
        <v>4</v>
      </c>
      <c r="B12" s="153" t="s">
        <v>28</v>
      </c>
      <c r="C12" s="154"/>
      <c r="D12" s="28">
        <v>2</v>
      </c>
      <c r="E12" s="7">
        <v>2</v>
      </c>
      <c r="F12" s="7">
        <v>2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Q12" s="2" t="s">
        <v>12</v>
      </c>
    </row>
    <row r="13" spans="1:17" ht="18" customHeight="1" x14ac:dyDescent="0.3">
      <c r="A13" s="29">
        <v>5</v>
      </c>
      <c r="B13" s="153" t="s">
        <v>20</v>
      </c>
      <c r="C13" s="154"/>
      <c r="D13" s="28">
        <v>2</v>
      </c>
      <c r="E13" s="7">
        <v>2</v>
      </c>
      <c r="F13" s="7">
        <v>2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Q13" s="2" t="s">
        <v>45</v>
      </c>
    </row>
    <row r="14" spans="1:17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Q14" s="2" t="s">
        <v>11</v>
      </c>
    </row>
    <row r="15" spans="1:17" ht="18" customHeight="1" x14ac:dyDescent="0.3">
      <c r="A15" s="173">
        <v>7</v>
      </c>
      <c r="B15" s="161" t="s">
        <v>22</v>
      </c>
      <c r="C15" s="162"/>
      <c r="D15" s="167">
        <v>2</v>
      </c>
      <c r="E15" s="170">
        <v>2</v>
      </c>
      <c r="F15" s="170">
        <v>2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72"/>
      <c r="J15" s="51" t="s">
        <v>60</v>
      </c>
      <c r="K15" s="46"/>
      <c r="L15" s="78" t="s">
        <v>123</v>
      </c>
      <c r="Q15" s="2" t="s">
        <v>93</v>
      </c>
    </row>
    <row r="16" spans="1:17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72"/>
      <c r="J16" s="51" t="s">
        <v>60</v>
      </c>
      <c r="K16" s="46"/>
      <c r="L16" s="78" t="s">
        <v>124</v>
      </c>
      <c r="M16" s="2"/>
      <c r="N16" s="2"/>
      <c r="Q16" s="2" t="s">
        <v>94</v>
      </c>
    </row>
    <row r="17" spans="1:17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72"/>
      <c r="J17" s="51" t="s">
        <v>60</v>
      </c>
      <c r="K17" s="46"/>
      <c r="L17" s="78" t="s">
        <v>125</v>
      </c>
      <c r="M17" s="2"/>
      <c r="N17" s="2"/>
      <c r="Q17" s="2" t="s">
        <v>13</v>
      </c>
    </row>
    <row r="18" spans="1:17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46"/>
      <c r="J18" s="51" t="s">
        <v>60</v>
      </c>
      <c r="K18" s="46"/>
      <c r="L18" s="78" t="s">
        <v>126</v>
      </c>
      <c r="M18" s="2"/>
      <c r="N18" s="2"/>
      <c r="Q18" s="2" t="s">
        <v>6</v>
      </c>
    </row>
    <row r="19" spans="1:17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46"/>
      <c r="J19" s="51" t="s">
        <v>60</v>
      </c>
      <c r="K19" s="46"/>
      <c r="L19" s="78" t="s">
        <v>127</v>
      </c>
      <c r="M19" s="2"/>
      <c r="N19" s="2"/>
      <c r="Q19" s="2" t="s">
        <v>76</v>
      </c>
    </row>
    <row r="20" spans="1:17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5"/>
      <c r="J20" s="51" t="s">
        <v>60</v>
      </c>
      <c r="K20" s="46"/>
      <c r="L20" s="78" t="s">
        <v>128</v>
      </c>
      <c r="M20" s="2"/>
      <c r="N20" s="2"/>
      <c r="Q20" s="2" t="s">
        <v>7</v>
      </c>
    </row>
    <row r="21" spans="1:17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Q21" s="2" t="s">
        <v>95</v>
      </c>
    </row>
    <row r="22" spans="1:17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Q22" s="2" t="s">
        <v>96</v>
      </c>
    </row>
    <row r="23" spans="1:17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Q23" s="2" t="s">
        <v>97</v>
      </c>
    </row>
    <row r="24" spans="1:17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Q24" s="2" t="s">
        <v>98</v>
      </c>
    </row>
    <row r="25" spans="1:17" ht="18" customHeight="1" x14ac:dyDescent="0.3">
      <c r="A25" s="29">
        <v>10</v>
      </c>
      <c r="B25" s="153" t="s">
        <v>8</v>
      </c>
      <c r="C25" s="154"/>
      <c r="D25" s="28">
        <v>3</v>
      </c>
      <c r="E25" s="7">
        <v>3</v>
      </c>
      <c r="F25" s="7">
        <v>3</v>
      </c>
      <c r="G25" s="22">
        <f t="shared" si="0"/>
        <v>1</v>
      </c>
      <c r="H25" s="130"/>
      <c r="I25" s="130"/>
      <c r="J25" s="130"/>
      <c r="K25" s="130"/>
      <c r="M25" s="2"/>
      <c r="N25" s="2"/>
      <c r="Q25" s="2" t="s">
        <v>99</v>
      </c>
    </row>
    <row r="26" spans="1:17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Q26" s="2" t="s">
        <v>100</v>
      </c>
    </row>
    <row r="27" spans="1:17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Q27" s="2" t="s">
        <v>101</v>
      </c>
    </row>
    <row r="28" spans="1:17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17" ht="18" customHeight="1" thickBot="1" x14ac:dyDescent="0.35">
      <c r="A29" s="29">
        <v>14</v>
      </c>
      <c r="B29" s="192" t="s">
        <v>68</v>
      </c>
      <c r="C29" s="193"/>
      <c r="D29" s="28">
        <v>2</v>
      </c>
      <c r="E29" s="7">
        <v>2</v>
      </c>
      <c r="F29" s="7">
        <v>2</v>
      </c>
      <c r="G29" s="22">
        <f t="shared" si="0"/>
        <v>1</v>
      </c>
      <c r="H29" s="130"/>
      <c r="I29" s="130"/>
      <c r="J29" s="130"/>
      <c r="K29" s="130"/>
    </row>
    <row r="30" spans="1:17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sheetProtection selectLockedCells="1"/>
  <dataConsolidate/>
  <mergeCells count="49">
    <mergeCell ref="A35:K36"/>
    <mergeCell ref="A32:B32"/>
    <mergeCell ref="C32:D32"/>
    <mergeCell ref="A33:B33"/>
    <mergeCell ref="C33:D33"/>
    <mergeCell ref="B27:C27"/>
    <mergeCell ref="H27:K27"/>
    <mergeCell ref="B28:C28"/>
    <mergeCell ref="H28:K28"/>
    <mergeCell ref="A30:F30"/>
    <mergeCell ref="G30:K30"/>
    <mergeCell ref="B29:C29"/>
    <mergeCell ref="H29:K29"/>
    <mergeCell ref="B26:C26"/>
    <mergeCell ref="H26:K26"/>
    <mergeCell ref="B11:C11"/>
    <mergeCell ref="B12:C12"/>
    <mergeCell ref="B13:C13"/>
    <mergeCell ref="H23:K23"/>
    <mergeCell ref="H24:K24"/>
    <mergeCell ref="B25:C25"/>
    <mergeCell ref="H25:K25"/>
    <mergeCell ref="B24:C24"/>
    <mergeCell ref="B23:C23"/>
    <mergeCell ref="H11:K11"/>
    <mergeCell ref="H12:K12"/>
    <mergeCell ref="H13:K13"/>
    <mergeCell ref="H14:K14"/>
    <mergeCell ref="G15:G22"/>
    <mergeCell ref="J1:K1"/>
    <mergeCell ref="J3:K3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H22:K22"/>
    <mergeCell ref="B14:C14"/>
    <mergeCell ref="A15:A22"/>
    <mergeCell ref="B15:C22"/>
    <mergeCell ref="D15:D22"/>
    <mergeCell ref="E15:E22"/>
    <mergeCell ref="F15:F22"/>
  </mergeCells>
  <dataValidations count="4">
    <dataValidation type="list" allowBlank="1" showInputMessage="1" showErrorMessage="1" sqref="D9" xr:uid="{00000000-0002-0000-0A00-000000000000}">
      <formula1>$M$33:$M$48</formula1>
    </dataValidation>
    <dataValidation type="list" allowBlank="1" showInputMessage="1" showErrorMessage="1" sqref="D10:D14 D23:D25 D27:D29 D26:F26" xr:uid="{00000000-0002-0000-0A00-000001000000}">
      <formula1>$M$33:$M$49</formula1>
    </dataValidation>
    <dataValidation type="list" allowBlank="1" showInputMessage="1" showErrorMessage="1" sqref="D15 E9:F15 E23:F25 E27:F29" xr:uid="{00000000-0002-0000-0A00-000002000000}">
      <formula1>$M$41:$M$55</formula1>
    </dataValidation>
    <dataValidation type="list" allowBlank="1" showInputMessage="1" showErrorMessage="1" sqref="C5:G5" xr:uid="{00000000-0002-0000-0A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Q63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3.332031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7" t="s">
        <v>47</v>
      </c>
      <c r="K1" s="198"/>
      <c r="L1" s="78" t="s">
        <v>109</v>
      </c>
    </row>
    <row r="2" spans="1:17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7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7" ht="15.75" customHeight="1" x14ac:dyDescent="0.3">
      <c r="A5" s="3"/>
      <c r="B5" s="13" t="s">
        <v>30</v>
      </c>
      <c r="C5" s="136" t="s">
        <v>120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7" ht="15.75" customHeight="1" x14ac:dyDescent="0.3">
      <c r="A6" s="18"/>
      <c r="E6" s="19"/>
      <c r="F6" s="19"/>
      <c r="G6" s="11"/>
      <c r="L6" s="78" t="s">
        <v>114</v>
      </c>
    </row>
    <row r="7" spans="1:17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7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7" ht="18" customHeight="1" x14ac:dyDescent="0.3">
      <c r="A9" s="29">
        <v>1</v>
      </c>
      <c r="B9" s="153" t="s">
        <v>27</v>
      </c>
      <c r="C9" s="154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Q9" s="2" t="s">
        <v>2</v>
      </c>
    </row>
    <row r="10" spans="1:17" ht="18" customHeight="1" x14ac:dyDescent="0.3">
      <c r="A10" s="29">
        <v>2</v>
      </c>
      <c r="B10" s="153" t="s">
        <v>26</v>
      </c>
      <c r="C10" s="154"/>
      <c r="D10" s="28">
        <v>3</v>
      </c>
      <c r="E10" s="7">
        <v>3</v>
      </c>
      <c r="F10" s="7">
        <v>3</v>
      </c>
      <c r="G10" s="22">
        <f t="shared" ref="G10:G31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Q10" s="2" t="s">
        <v>46</v>
      </c>
    </row>
    <row r="11" spans="1:17" ht="18" customHeight="1" x14ac:dyDescent="0.3">
      <c r="A11" s="29">
        <v>3</v>
      </c>
      <c r="B11" s="153" t="s">
        <v>29</v>
      </c>
      <c r="C11" s="154"/>
      <c r="D11" s="28">
        <v>3</v>
      </c>
      <c r="E11" s="7">
        <v>3</v>
      </c>
      <c r="F11" s="7">
        <v>3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Q11" s="2" t="s">
        <v>92</v>
      </c>
    </row>
    <row r="12" spans="1:17" ht="18" customHeight="1" x14ac:dyDescent="0.3">
      <c r="A12" s="29">
        <v>4</v>
      </c>
      <c r="B12" s="153" t="s">
        <v>28</v>
      </c>
      <c r="C12" s="154"/>
      <c r="D12" s="28">
        <v>3</v>
      </c>
      <c r="E12" s="7">
        <v>3</v>
      </c>
      <c r="F12" s="7">
        <v>3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Q12" s="2" t="s">
        <v>12</v>
      </c>
    </row>
    <row r="13" spans="1:17" ht="18" customHeight="1" x14ac:dyDescent="0.3">
      <c r="A13" s="29">
        <v>5</v>
      </c>
      <c r="B13" s="153" t="s">
        <v>20</v>
      </c>
      <c r="C13" s="154"/>
      <c r="D13" s="28">
        <v>3</v>
      </c>
      <c r="E13" s="7">
        <v>3</v>
      </c>
      <c r="F13" s="7">
        <v>3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Q13" s="2" t="s">
        <v>45</v>
      </c>
    </row>
    <row r="14" spans="1:17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Q14" s="2" t="s">
        <v>11</v>
      </c>
    </row>
    <row r="15" spans="1:17" ht="18" customHeight="1" x14ac:dyDescent="0.3">
      <c r="A15" s="173">
        <v>7</v>
      </c>
      <c r="B15" s="161" t="s">
        <v>22</v>
      </c>
      <c r="C15" s="162"/>
      <c r="D15" s="167">
        <v>3</v>
      </c>
      <c r="E15" s="170">
        <v>3</v>
      </c>
      <c r="F15" s="170">
        <v>3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46"/>
      <c r="J15" s="51" t="s">
        <v>60</v>
      </c>
      <c r="K15" s="46"/>
      <c r="L15" s="78" t="s">
        <v>123</v>
      </c>
      <c r="Q15" s="2" t="s">
        <v>93</v>
      </c>
    </row>
    <row r="16" spans="1:17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46"/>
      <c r="J16" s="51" t="s">
        <v>60</v>
      </c>
      <c r="K16" s="46"/>
      <c r="L16" s="78" t="s">
        <v>124</v>
      </c>
      <c r="M16" s="2"/>
      <c r="N16" s="2"/>
      <c r="Q16" s="2" t="s">
        <v>94</v>
      </c>
    </row>
    <row r="17" spans="1:17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46"/>
      <c r="J17" s="51" t="s">
        <v>60</v>
      </c>
      <c r="K17" s="46"/>
      <c r="L17" s="78" t="s">
        <v>125</v>
      </c>
      <c r="M17" s="2"/>
      <c r="N17" s="2"/>
      <c r="Q17" s="2" t="s">
        <v>13</v>
      </c>
    </row>
    <row r="18" spans="1:17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58"/>
      <c r="J18" s="51" t="s">
        <v>60</v>
      </c>
      <c r="K18" s="58"/>
      <c r="L18" s="78" t="s">
        <v>126</v>
      </c>
      <c r="M18" s="2"/>
      <c r="N18" s="2"/>
      <c r="Q18" s="2" t="s">
        <v>6</v>
      </c>
    </row>
    <row r="19" spans="1:17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58"/>
      <c r="J19" s="51" t="s">
        <v>60</v>
      </c>
      <c r="K19" s="58"/>
      <c r="L19" s="78" t="s">
        <v>127</v>
      </c>
      <c r="M19" s="2"/>
      <c r="N19" s="2"/>
      <c r="Q19" s="2" t="s">
        <v>76</v>
      </c>
    </row>
    <row r="20" spans="1:17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46"/>
      <c r="J20" s="51" t="s">
        <v>60</v>
      </c>
      <c r="K20" s="46"/>
      <c r="L20" s="78" t="s">
        <v>128</v>
      </c>
      <c r="M20" s="2"/>
      <c r="N20" s="2"/>
      <c r="Q20" s="2" t="s">
        <v>7</v>
      </c>
    </row>
    <row r="21" spans="1:17" ht="18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6"/>
      <c r="J21" s="51" t="s">
        <v>60</v>
      </c>
      <c r="K21" s="46"/>
      <c r="M21" s="2"/>
      <c r="N21" s="2"/>
      <c r="Q21" s="2" t="s">
        <v>95</v>
      </c>
    </row>
    <row r="22" spans="1:17" ht="18" customHeight="1" x14ac:dyDescent="0.3">
      <c r="A22" s="174"/>
      <c r="B22" s="163"/>
      <c r="C22" s="164"/>
      <c r="D22" s="168"/>
      <c r="E22" s="171"/>
      <c r="F22" s="171"/>
      <c r="G22" s="156"/>
      <c r="H22" s="51" t="s">
        <v>83</v>
      </c>
      <c r="I22" s="45"/>
      <c r="J22" s="51" t="s">
        <v>60</v>
      </c>
      <c r="K22" s="46"/>
      <c r="M22" s="2"/>
      <c r="N22" s="2"/>
      <c r="Q22" s="2" t="s">
        <v>96</v>
      </c>
    </row>
    <row r="23" spans="1:17" ht="18.75" customHeight="1" x14ac:dyDescent="0.3">
      <c r="A23" s="174"/>
      <c r="B23" s="163"/>
      <c r="C23" s="164"/>
      <c r="D23" s="168"/>
      <c r="E23" s="171"/>
      <c r="F23" s="171"/>
      <c r="G23" s="156"/>
      <c r="H23" s="51" t="s">
        <v>82</v>
      </c>
      <c r="I23" s="45"/>
      <c r="J23" s="51" t="s">
        <v>60</v>
      </c>
      <c r="K23" s="46"/>
      <c r="L23" s="4"/>
      <c r="M23" s="2"/>
      <c r="N23" s="2"/>
      <c r="Q23" s="2" t="s">
        <v>97</v>
      </c>
    </row>
    <row r="24" spans="1:17" ht="18.75" customHeight="1" x14ac:dyDescent="0.3">
      <c r="A24" s="175"/>
      <c r="B24" s="165"/>
      <c r="C24" s="166"/>
      <c r="D24" s="169"/>
      <c r="E24" s="172"/>
      <c r="F24" s="172"/>
      <c r="G24" s="157"/>
      <c r="H24" s="158"/>
      <c r="I24" s="159"/>
      <c r="J24" s="159"/>
      <c r="K24" s="160"/>
      <c r="L24" s="4"/>
      <c r="M24" s="2"/>
      <c r="N24" s="2"/>
      <c r="Q24" s="2" t="s">
        <v>98</v>
      </c>
    </row>
    <row r="25" spans="1:17" ht="18" customHeight="1" x14ac:dyDescent="0.3">
      <c r="A25" s="29">
        <v>8</v>
      </c>
      <c r="B25" s="131" t="s">
        <v>19</v>
      </c>
      <c r="C25" s="132"/>
      <c r="D25" s="28">
        <v>1</v>
      </c>
      <c r="E25" s="7">
        <v>1</v>
      </c>
      <c r="F25" s="7">
        <v>1</v>
      </c>
      <c r="G25" s="22">
        <f t="shared" si="0"/>
        <v>1</v>
      </c>
      <c r="H25" s="130"/>
      <c r="I25" s="130"/>
      <c r="J25" s="130"/>
      <c r="K25" s="130"/>
      <c r="M25" s="2"/>
      <c r="N25" s="2"/>
      <c r="Q25" s="2" t="s">
        <v>99</v>
      </c>
    </row>
    <row r="26" spans="1:17" ht="18" customHeight="1" x14ac:dyDescent="0.3">
      <c r="A26" s="29">
        <v>9</v>
      </c>
      <c r="B26" s="131" t="s">
        <v>18</v>
      </c>
      <c r="C26" s="132"/>
      <c r="D26" s="28">
        <v>1</v>
      </c>
      <c r="E26" s="7">
        <v>1</v>
      </c>
      <c r="F26" s="7">
        <v>1</v>
      </c>
      <c r="G26" s="22">
        <f t="shared" si="0"/>
        <v>1</v>
      </c>
      <c r="H26" s="130"/>
      <c r="I26" s="130"/>
      <c r="J26" s="130"/>
      <c r="K26" s="130"/>
      <c r="M26" s="2"/>
      <c r="N26" s="2"/>
      <c r="Q26" s="2" t="s">
        <v>100</v>
      </c>
    </row>
    <row r="27" spans="1:17" ht="18" customHeight="1" x14ac:dyDescent="0.3">
      <c r="A27" s="29">
        <v>10</v>
      </c>
      <c r="B27" s="153" t="s">
        <v>8</v>
      </c>
      <c r="C27" s="154"/>
      <c r="D27" s="28">
        <v>3</v>
      </c>
      <c r="E27" s="7">
        <v>3</v>
      </c>
      <c r="F27" s="7">
        <v>3</v>
      </c>
      <c r="G27" s="22">
        <f t="shared" si="0"/>
        <v>1</v>
      </c>
      <c r="H27" s="130"/>
      <c r="I27" s="130"/>
      <c r="J27" s="130"/>
      <c r="K27" s="130"/>
      <c r="M27" s="2"/>
      <c r="N27" s="2"/>
      <c r="Q27" s="2" t="s">
        <v>101</v>
      </c>
    </row>
    <row r="28" spans="1:17" ht="18" customHeight="1" x14ac:dyDescent="0.3">
      <c r="A28" s="29">
        <v>11</v>
      </c>
      <c r="B28" s="178" t="s">
        <v>103</v>
      </c>
      <c r="C28" s="179"/>
      <c r="D28" s="28">
        <v>0</v>
      </c>
      <c r="E28" s="28">
        <v>1</v>
      </c>
      <c r="F28" s="28">
        <v>1</v>
      </c>
      <c r="G28" s="22" t="str">
        <f t="shared" si="0"/>
        <v>-</v>
      </c>
      <c r="H28" s="113"/>
      <c r="I28" s="114"/>
      <c r="J28" s="114"/>
      <c r="K28" s="115"/>
      <c r="M28" s="2"/>
      <c r="N28" s="2"/>
    </row>
    <row r="29" spans="1:17" ht="18" customHeight="1" x14ac:dyDescent="0.3">
      <c r="A29" s="29">
        <v>12</v>
      </c>
      <c r="B29" s="176" t="s">
        <v>58</v>
      </c>
      <c r="C29" s="177"/>
      <c r="D29" s="28">
        <v>1</v>
      </c>
      <c r="E29" s="7">
        <v>1</v>
      </c>
      <c r="F29" s="7">
        <v>1</v>
      </c>
      <c r="G29" s="22">
        <f t="shared" si="0"/>
        <v>1</v>
      </c>
      <c r="H29" s="130"/>
      <c r="I29" s="130"/>
      <c r="J29" s="130"/>
      <c r="K29" s="130"/>
    </row>
    <row r="30" spans="1:17" ht="18" customHeight="1" x14ac:dyDescent="0.3">
      <c r="A30" s="29">
        <v>13</v>
      </c>
      <c r="B30" s="184" t="s">
        <v>54</v>
      </c>
      <c r="C30" s="185"/>
      <c r="D30" s="47">
        <v>0</v>
      </c>
      <c r="E30" s="7">
        <v>1</v>
      </c>
      <c r="F30" s="7">
        <v>1</v>
      </c>
      <c r="G30" s="49" t="str">
        <f t="shared" si="0"/>
        <v>-</v>
      </c>
      <c r="H30" s="186"/>
      <c r="I30" s="186"/>
      <c r="J30" s="186"/>
      <c r="K30" s="186"/>
    </row>
    <row r="31" spans="1:17" ht="18" customHeight="1" thickBot="1" x14ac:dyDescent="0.35">
      <c r="A31" s="29">
        <v>14</v>
      </c>
      <c r="B31" s="192" t="s">
        <v>68</v>
      </c>
      <c r="C31" s="193"/>
      <c r="D31" s="28">
        <v>3</v>
      </c>
      <c r="E31" s="7">
        <v>3</v>
      </c>
      <c r="F31" s="7">
        <v>3</v>
      </c>
      <c r="G31" s="22">
        <f t="shared" si="0"/>
        <v>1</v>
      </c>
      <c r="H31" s="130"/>
      <c r="I31" s="130"/>
      <c r="J31" s="130"/>
      <c r="K31" s="130"/>
    </row>
    <row r="32" spans="1:17" ht="19.5" customHeight="1" thickBot="1" x14ac:dyDescent="0.35">
      <c r="A32" s="187" t="s">
        <v>55</v>
      </c>
      <c r="B32" s="188"/>
      <c r="C32" s="188"/>
      <c r="D32" s="188"/>
      <c r="E32" s="188"/>
      <c r="F32" s="188"/>
      <c r="G32" s="189">
        <f>IFERROR(AVERAGE(G9:G30),"-")</f>
        <v>1</v>
      </c>
      <c r="H32" s="190"/>
      <c r="I32" s="190"/>
      <c r="J32" s="190"/>
      <c r="K32" s="191"/>
    </row>
    <row r="33" spans="1:16" ht="17.25" customHeight="1" x14ac:dyDescent="0.3">
      <c r="A33" s="34"/>
      <c r="E33" s="17"/>
      <c r="F33" s="35"/>
      <c r="G33" s="36"/>
      <c r="H33" s="25"/>
      <c r="I33" s="37"/>
      <c r="J33" s="23"/>
    </row>
    <row r="34" spans="1:16" ht="28.5" customHeight="1" x14ac:dyDescent="0.3">
      <c r="A34" s="182" t="s">
        <v>57</v>
      </c>
      <c r="B34" s="182"/>
      <c r="C34" s="183" t="s">
        <v>105</v>
      </c>
      <c r="D34" s="183"/>
      <c r="E34" s="38"/>
      <c r="F34" s="38"/>
      <c r="G34" s="24"/>
      <c r="H34" s="25"/>
      <c r="I34" s="26"/>
      <c r="J34" s="25"/>
    </row>
    <row r="35" spans="1:16" x14ac:dyDescent="0.3">
      <c r="A35" s="182" t="s">
        <v>59</v>
      </c>
      <c r="B35" s="182"/>
      <c r="C35" s="122" t="s">
        <v>106</v>
      </c>
      <c r="D35" s="123"/>
      <c r="E35" s="39"/>
      <c r="F35" s="39"/>
      <c r="G35" s="27"/>
      <c r="H35" s="26"/>
      <c r="I35" s="26"/>
      <c r="J35" s="25"/>
    </row>
    <row r="36" spans="1:16" x14ac:dyDescent="0.3">
      <c r="A36" s="40"/>
      <c r="B36" s="40"/>
      <c r="C36" s="41"/>
      <c r="D36" s="41"/>
      <c r="E36" s="39"/>
      <c r="F36" s="39"/>
      <c r="G36" s="27"/>
      <c r="H36" s="26"/>
      <c r="I36" s="26"/>
      <c r="J36" s="25"/>
    </row>
    <row r="37" spans="1:16" x14ac:dyDescent="0.3">
      <c r="A37" s="181" t="s">
        <v>56</v>
      </c>
      <c r="B37" s="181"/>
      <c r="C37" s="181"/>
      <c r="D37" s="181"/>
      <c r="E37" s="181"/>
      <c r="F37" s="181"/>
      <c r="G37" s="181"/>
      <c r="H37" s="181"/>
      <c r="I37" s="181"/>
      <c r="J37" s="181"/>
      <c r="K37" s="181"/>
    </row>
    <row r="38" spans="1:16" x14ac:dyDescent="0.3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M38" s="2"/>
      <c r="N38" s="2"/>
    </row>
    <row r="39" spans="1:16" x14ac:dyDescent="0.3">
      <c r="M39" s="2"/>
      <c r="N39" s="2"/>
    </row>
    <row r="40" spans="1:16" x14ac:dyDescent="0.3">
      <c r="M40" s="2"/>
      <c r="N40" s="2"/>
    </row>
    <row r="41" spans="1:16" ht="28.8" hidden="1" x14ac:dyDescent="0.3">
      <c r="L41" s="5" t="s">
        <v>15</v>
      </c>
      <c r="M41" s="21" t="s">
        <v>52</v>
      </c>
      <c r="N41" s="21" t="s">
        <v>51</v>
      </c>
      <c r="O41" s="42" t="s">
        <v>32</v>
      </c>
    </row>
    <row r="42" spans="1:16" ht="15.6" hidden="1" x14ac:dyDescent="0.3">
      <c r="K42" s="5" t="s">
        <v>10</v>
      </c>
      <c r="L42" s="8" t="s">
        <v>16</v>
      </c>
      <c r="M42" s="6">
        <v>0</v>
      </c>
      <c r="N42" s="44" t="s">
        <v>16</v>
      </c>
      <c r="O42" s="6" t="s">
        <v>33</v>
      </c>
      <c r="P42" s="10"/>
    </row>
    <row r="43" spans="1:16" hidden="1" x14ac:dyDescent="0.3">
      <c r="K43" s="1" t="str">
        <f>IF(MAESTRO!A1="","",MAESTRO!A1)</f>
        <v>******SUCURSALES</v>
      </c>
      <c r="L43" s="43" t="s">
        <v>17</v>
      </c>
      <c r="M43" s="15">
        <v>1</v>
      </c>
      <c r="N43" s="43" t="s">
        <v>17</v>
      </c>
      <c r="O43" s="6" t="s">
        <v>34</v>
      </c>
    </row>
    <row r="44" spans="1:16" hidden="1" x14ac:dyDescent="0.3">
      <c r="K44" s="1" t="str">
        <f>IF(MAESTRO!A2="","",MAESTRO!A2)</f>
        <v>LA CASA DE LA CAÑA, C.A. (T. ALTERNA)</v>
      </c>
      <c r="M44" s="16">
        <v>2</v>
      </c>
      <c r="N44" s="16"/>
      <c r="O44" s="6" t="s">
        <v>35</v>
      </c>
    </row>
    <row r="45" spans="1:16" hidden="1" x14ac:dyDescent="0.3">
      <c r="K45" s="1" t="str">
        <f>IF(MAESTRO!A3="","",MAESTRO!A3)</f>
        <v>LA CASA DE LA CAÑA, C.A. (T. ANACO)</v>
      </c>
      <c r="M45" s="16">
        <v>3</v>
      </c>
      <c r="N45" s="16"/>
      <c r="O45" s="6" t="s">
        <v>36</v>
      </c>
    </row>
    <row r="46" spans="1:16" hidden="1" x14ac:dyDescent="0.3">
      <c r="K46" s="1" t="str">
        <f>IF(MAESTRO!A4="","",MAESTRO!A4)</f>
        <v>LA CASA DE LA CAÑA, C.A. (T. CUMANÁ)</v>
      </c>
      <c r="L46" s="1"/>
      <c r="M46" s="16">
        <v>4</v>
      </c>
      <c r="N46" s="15"/>
      <c r="O46" s="6" t="s">
        <v>37</v>
      </c>
    </row>
    <row r="47" spans="1:16" hidden="1" x14ac:dyDescent="0.3">
      <c r="K47" s="1" t="str">
        <f>IF(MAESTRO!A5="","",MAESTRO!A5)</f>
        <v>LA CASA DE LA CAÑA, C.A. (T. MATURÍN I)</v>
      </c>
      <c r="L47" s="1"/>
      <c r="M47" s="15">
        <v>5</v>
      </c>
      <c r="N47" s="15"/>
      <c r="O47" s="6" t="s">
        <v>38</v>
      </c>
    </row>
    <row r="48" spans="1:16" hidden="1" x14ac:dyDescent="0.3">
      <c r="K48" s="1" t="str">
        <f>IF(MAESTRO!A6="","",MAESTRO!A6)</f>
        <v>LA CASA DE LA CAÑA, C.A. (T. MATURÍN II)</v>
      </c>
      <c r="L48" s="1"/>
      <c r="M48" s="15">
        <v>6</v>
      </c>
      <c r="N48" s="15"/>
      <c r="O48" s="6" t="s">
        <v>39</v>
      </c>
    </row>
    <row r="49" spans="5:15" hidden="1" x14ac:dyDescent="0.3">
      <c r="K49" s="1" t="str">
        <f>IF(MAESTRO!A7="","",MAESTRO!A7)</f>
        <v>LA CASA DE LA CAÑA, C.A. (T. NVA. BARCELONA)</v>
      </c>
      <c r="L49" s="1"/>
      <c r="M49" s="15">
        <v>7</v>
      </c>
      <c r="N49" s="15"/>
      <c r="O49" s="6" t="s">
        <v>40</v>
      </c>
    </row>
    <row r="50" spans="5:15" hidden="1" x14ac:dyDescent="0.3">
      <c r="K50" s="1" t="str">
        <f>IF(MAESTRO!A8="","",MAESTRO!A8)</f>
        <v>INVERSIONES CAÑANDONGA,C.A (T. CONEJERO)</v>
      </c>
      <c r="L50" s="1"/>
      <c r="M50" s="15">
        <v>8</v>
      </c>
      <c r="N50" s="15"/>
      <c r="O50" s="6" t="s">
        <v>41</v>
      </c>
    </row>
    <row r="51" spans="5:15" hidden="1" x14ac:dyDescent="0.3">
      <c r="E51" s="2"/>
      <c r="F51" s="2"/>
      <c r="G51" s="2"/>
      <c r="K51" s="1" t="str">
        <f>IF(MAESTRO!A9="","",MAESTRO!A9)</f>
        <v>OPERADORA EL MERCADO 2011, C.A. (T. MERCADO)</v>
      </c>
      <c r="L51" s="1"/>
      <c r="M51" s="15">
        <v>9</v>
      </c>
      <c r="N51" s="15"/>
      <c r="O51" s="6" t="s">
        <v>42</v>
      </c>
    </row>
    <row r="52" spans="5:15" hidden="1" x14ac:dyDescent="0.3">
      <c r="E52" s="2"/>
      <c r="F52" s="2"/>
      <c r="G52" s="2"/>
      <c r="K52" s="1" t="str">
        <f>IF(MAESTRO!A10="","",MAESTRO!A10)</f>
        <v>OPERADORA EL PUENTE 2011, C.A. (T. PUENTE REAL)</v>
      </c>
      <c r="L52" s="1"/>
      <c r="M52" s="15">
        <v>10</v>
      </c>
      <c r="N52" s="15"/>
      <c r="O52" s="6" t="s">
        <v>43</v>
      </c>
    </row>
    <row r="53" spans="5:15" hidden="1" x14ac:dyDescent="0.3">
      <c r="E53" s="2"/>
      <c r="F53" s="2"/>
      <c r="G53" s="2"/>
      <c r="K53" s="1" t="str">
        <f>IF(MAESTRO!A11="","",MAESTRO!A11)</f>
        <v>OPERADORA LECHERÍA 2011, C.A. (T. LECHERÍA)</v>
      </c>
      <c r="L53" s="1"/>
      <c r="M53" s="15">
        <v>11</v>
      </c>
      <c r="N53" s="15"/>
      <c r="O53" s="6" t="s">
        <v>44</v>
      </c>
    </row>
    <row r="54" spans="5:15" hidden="1" x14ac:dyDescent="0.3">
      <c r="E54" s="2"/>
      <c r="F54" s="2"/>
      <c r="G54" s="2"/>
      <c r="K54" s="1" t="str">
        <f>IF(MAESTRO!A12="","",MAESTRO!A12)</f>
        <v>OPERADORA PUERTO LA CRUZ 2011, C.A. (T. PUERTO LA CRUZ)</v>
      </c>
      <c r="L54" s="1"/>
      <c r="M54" s="15">
        <v>12</v>
      </c>
      <c r="N54" s="15"/>
      <c r="O54" s="6"/>
    </row>
    <row r="55" spans="5:15" hidden="1" x14ac:dyDescent="0.3">
      <c r="E55" s="2"/>
      <c r="F55" s="2"/>
      <c r="G55" s="2"/>
      <c r="K55" s="1" t="str">
        <f>IF(MAESTRO!A13="","",MAESTRO!A13)</f>
        <v>OPERADORA PUERTO ORDAZ 2013, C.A.(T. PUERTO ORDAZ)</v>
      </c>
      <c r="L55" s="1"/>
      <c r="M55" s="15">
        <v>13</v>
      </c>
      <c r="N55" s="15"/>
      <c r="O55" s="6"/>
    </row>
    <row r="56" spans="5:15" hidden="1" x14ac:dyDescent="0.3">
      <c r="E56" s="2"/>
      <c r="F56" s="2"/>
      <c r="G56" s="2"/>
      <c r="K56" s="1" t="str">
        <f>IF(MAESTRO!A14="","",MAESTRO!A14)</f>
        <v>OPERADORA LAS AMERICAS, C.A</v>
      </c>
      <c r="L56" s="1"/>
      <c r="M56" s="15">
        <v>14</v>
      </c>
      <c r="N56" s="15"/>
      <c r="O56" s="6"/>
    </row>
    <row r="57" spans="5:15" hidden="1" x14ac:dyDescent="0.3">
      <c r="E57" s="2"/>
      <c r="F57" s="2"/>
      <c r="G57" s="2"/>
      <c r="K57" s="1" t="str">
        <f>IF(MAESTRO!A15="","",MAESTRO!A15)</f>
        <v>OPERADORA PLAZA DEL SOL 2015, C.A</v>
      </c>
      <c r="M57" s="15">
        <v>15</v>
      </c>
      <c r="O57" s="6"/>
    </row>
    <row r="58" spans="5:15" hidden="1" x14ac:dyDescent="0.3">
      <c r="E58" s="2"/>
      <c r="F58" s="2"/>
      <c r="G58" s="2"/>
      <c r="K58" s="1" t="str">
        <f>IF(MAESTRO!A16="","",MAESTRO!A16)</f>
        <v>RELIVE, C.A. (T. CHUPARÍN)</v>
      </c>
    </row>
    <row r="59" spans="5:15" hidden="1" x14ac:dyDescent="0.3">
      <c r="K59" s="1" t="str">
        <f>IF(MAESTRO!A17="","",MAESTRO!A17)</f>
        <v>RELIVE, C.A. (T. TERRAZAS)</v>
      </c>
    </row>
    <row r="60" spans="5:15" hidden="1" x14ac:dyDescent="0.3">
      <c r="K60" s="1" t="str">
        <f>IF(MAESTRO!A18="","",MAESTRO!A18)</f>
        <v>RELIVE, C.A. (T. TIGRE II)</v>
      </c>
    </row>
    <row r="61" spans="5:15" hidden="1" x14ac:dyDescent="0.3">
      <c r="K61" s="1" t="str">
        <f>IF(MAESTRO!A19="","",MAESTRO!A19)</f>
        <v>RELIVE, C.A. (T. TIGRE III)</v>
      </c>
    </row>
    <row r="62" spans="5:15" x14ac:dyDescent="0.3">
      <c r="K62" s="1" t="str">
        <f>IF(MAESTRO!A20="","",MAESTRO!A20)</f>
        <v/>
      </c>
    </row>
    <row r="63" spans="5:15" x14ac:dyDescent="0.3">
      <c r="K63" s="1" t="str">
        <f>IF(MAESTRO!A21="","",MAESTRO!A21)</f>
        <v/>
      </c>
    </row>
  </sheetData>
  <sheetProtection selectLockedCells="1"/>
  <dataConsolidate/>
  <mergeCells count="49">
    <mergeCell ref="A37:K38"/>
    <mergeCell ref="A34:B34"/>
    <mergeCell ref="C34:D34"/>
    <mergeCell ref="A35:B35"/>
    <mergeCell ref="C35:D35"/>
    <mergeCell ref="B29:C29"/>
    <mergeCell ref="H29:K29"/>
    <mergeCell ref="B30:C30"/>
    <mergeCell ref="H30:K30"/>
    <mergeCell ref="A32:F32"/>
    <mergeCell ref="G32:K32"/>
    <mergeCell ref="B31:C31"/>
    <mergeCell ref="H31:K31"/>
    <mergeCell ref="B28:C28"/>
    <mergeCell ref="H28:K28"/>
    <mergeCell ref="B11:C11"/>
    <mergeCell ref="B12:C12"/>
    <mergeCell ref="B13:C13"/>
    <mergeCell ref="H25:K25"/>
    <mergeCell ref="H26:K26"/>
    <mergeCell ref="B27:C27"/>
    <mergeCell ref="H27:K27"/>
    <mergeCell ref="B26:C26"/>
    <mergeCell ref="B25:C25"/>
    <mergeCell ref="H11:K11"/>
    <mergeCell ref="H12:K12"/>
    <mergeCell ref="H13:K13"/>
    <mergeCell ref="H14:K14"/>
    <mergeCell ref="G15:G24"/>
    <mergeCell ref="J1:K1"/>
    <mergeCell ref="J3:K3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H24:K24"/>
    <mergeCell ref="B14:C14"/>
    <mergeCell ref="A15:A24"/>
    <mergeCell ref="B15:C24"/>
    <mergeCell ref="D15:D24"/>
    <mergeCell ref="E15:E24"/>
    <mergeCell ref="F15:F24"/>
  </mergeCells>
  <dataValidations count="5">
    <dataValidation type="list" allowBlank="1" showInputMessage="1" showErrorMessage="1" sqref="D9:D14" xr:uid="{00000000-0002-0000-0B00-000000000000}">
      <formula1>$M$41:$M$57</formula1>
    </dataValidation>
    <dataValidation type="list" allowBlank="1" showInputMessage="1" showErrorMessage="1" sqref="D15 E9:F15 E25:F27 E29:F31" xr:uid="{00000000-0002-0000-0B00-000001000000}">
      <formula1>$M$43:$M$57</formula1>
    </dataValidation>
    <dataValidation type="list" allowBlank="1" showInputMessage="1" showErrorMessage="1" sqref="C5:G5" xr:uid="{00000000-0002-0000-0B00-000002000000}">
      <formula1>$L$1:$L$20</formula1>
    </dataValidation>
    <dataValidation type="list" allowBlank="1" showInputMessage="1" showErrorMessage="1" sqref="D25:D27 D29:D31" xr:uid="{00000000-0002-0000-0B00-000003000000}">
      <formula1>$M$35:$M$51</formula1>
    </dataValidation>
    <dataValidation type="list" allowBlank="1" showInputMessage="1" showErrorMessage="1" sqref="D28:F28" xr:uid="{00000000-0002-0000-0B00-000004000000}">
      <formula1>$M$33:$M$49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5"/>
  <dimension ref="A1:Q62"/>
  <sheetViews>
    <sheetView view="pageBreakPreview" topLeftCell="A4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9" style="2" customWidth="1" collapsed="1"/>
    <col min="3" max="3" width="33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2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7" t="s">
        <v>47</v>
      </c>
      <c r="K1" s="198"/>
      <c r="L1" s="78" t="s">
        <v>109</v>
      </c>
    </row>
    <row r="2" spans="1:17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7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7" ht="15.75" customHeight="1" x14ac:dyDescent="0.3">
      <c r="A5" s="3"/>
      <c r="B5" s="13" t="s">
        <v>30</v>
      </c>
      <c r="C5" s="136" t="s">
        <v>121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7" ht="15.75" customHeight="1" x14ac:dyDescent="0.3">
      <c r="A6" s="18"/>
      <c r="E6" s="19"/>
      <c r="F6" s="19"/>
      <c r="G6" s="11"/>
      <c r="L6" s="78" t="s">
        <v>114</v>
      </c>
    </row>
    <row r="7" spans="1:17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7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7" ht="18" customHeight="1" x14ac:dyDescent="0.3">
      <c r="A9" s="29">
        <v>1</v>
      </c>
      <c r="B9" s="153" t="s">
        <v>27</v>
      </c>
      <c r="C9" s="154"/>
      <c r="D9" s="28">
        <v>3</v>
      </c>
      <c r="E9" s="7">
        <v>3</v>
      </c>
      <c r="F9" s="7">
        <v>3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Q9" s="2" t="s">
        <v>2</v>
      </c>
    </row>
    <row r="10" spans="1:17" ht="18" customHeight="1" x14ac:dyDescent="0.3">
      <c r="A10" s="29">
        <v>2</v>
      </c>
      <c r="B10" s="153" t="s">
        <v>26</v>
      </c>
      <c r="C10" s="154"/>
      <c r="D10" s="28">
        <v>3</v>
      </c>
      <c r="E10" s="7">
        <v>3</v>
      </c>
      <c r="F10" s="7">
        <v>3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Q10" s="2" t="s">
        <v>46</v>
      </c>
    </row>
    <row r="11" spans="1:17" ht="18" customHeight="1" x14ac:dyDescent="0.3">
      <c r="A11" s="29">
        <v>3</v>
      </c>
      <c r="B11" s="153" t="s">
        <v>29</v>
      </c>
      <c r="C11" s="154"/>
      <c r="D11" s="28">
        <v>3</v>
      </c>
      <c r="E11" s="7">
        <v>3</v>
      </c>
      <c r="F11" s="7">
        <v>3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Q11" s="2" t="s">
        <v>92</v>
      </c>
    </row>
    <row r="12" spans="1:17" ht="18" customHeight="1" x14ac:dyDescent="0.3">
      <c r="A12" s="29">
        <v>4</v>
      </c>
      <c r="B12" s="153" t="s">
        <v>28</v>
      </c>
      <c r="C12" s="154"/>
      <c r="D12" s="28">
        <v>3</v>
      </c>
      <c r="E12" s="7">
        <v>3</v>
      </c>
      <c r="F12" s="7">
        <v>3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Q12" s="2" t="s">
        <v>12</v>
      </c>
    </row>
    <row r="13" spans="1:17" ht="18" customHeight="1" x14ac:dyDescent="0.3">
      <c r="A13" s="29">
        <v>5</v>
      </c>
      <c r="B13" s="153" t="s">
        <v>20</v>
      </c>
      <c r="C13" s="154"/>
      <c r="D13" s="28">
        <v>3</v>
      </c>
      <c r="E13" s="7">
        <v>3</v>
      </c>
      <c r="F13" s="7">
        <v>3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Q13" s="2" t="s">
        <v>45</v>
      </c>
    </row>
    <row r="14" spans="1:17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Q14" s="2" t="s">
        <v>11</v>
      </c>
    </row>
    <row r="15" spans="1:17" ht="18" customHeight="1" x14ac:dyDescent="0.3">
      <c r="A15" s="173">
        <v>7</v>
      </c>
      <c r="B15" s="161" t="s">
        <v>22</v>
      </c>
      <c r="C15" s="162"/>
      <c r="D15" s="167">
        <v>3</v>
      </c>
      <c r="E15" s="170">
        <v>3</v>
      </c>
      <c r="F15" s="170">
        <v>3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46"/>
      <c r="J15" s="51" t="s">
        <v>60</v>
      </c>
      <c r="K15" s="46"/>
      <c r="L15" s="78" t="s">
        <v>123</v>
      </c>
      <c r="Q15" s="2" t="s">
        <v>93</v>
      </c>
    </row>
    <row r="16" spans="1:17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58"/>
      <c r="J16" s="51" t="s">
        <v>60</v>
      </c>
      <c r="K16" s="58"/>
      <c r="L16" s="78" t="s">
        <v>124</v>
      </c>
      <c r="M16" s="2"/>
      <c r="N16" s="2"/>
      <c r="Q16" s="2" t="s">
        <v>94</v>
      </c>
    </row>
    <row r="17" spans="1:17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58"/>
      <c r="J17" s="51" t="s">
        <v>60</v>
      </c>
      <c r="K17" s="58"/>
      <c r="L17" s="78" t="s">
        <v>125</v>
      </c>
      <c r="M17" s="2"/>
      <c r="N17" s="2"/>
      <c r="Q17" s="2" t="s">
        <v>13</v>
      </c>
    </row>
    <row r="18" spans="1:17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58"/>
      <c r="J18" s="51" t="s">
        <v>60</v>
      </c>
      <c r="K18" s="58"/>
      <c r="L18" s="78" t="s">
        <v>126</v>
      </c>
      <c r="M18" s="2"/>
      <c r="N18" s="2"/>
      <c r="Q18" s="2" t="s">
        <v>6</v>
      </c>
    </row>
    <row r="19" spans="1:17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58"/>
      <c r="J19" s="51" t="s">
        <v>60</v>
      </c>
      <c r="K19" s="58"/>
      <c r="L19" s="78" t="s">
        <v>127</v>
      </c>
      <c r="M19" s="2"/>
      <c r="N19" s="2"/>
      <c r="Q19" s="2" t="s">
        <v>76</v>
      </c>
    </row>
    <row r="20" spans="1:17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58"/>
      <c r="J20" s="51" t="s">
        <v>60</v>
      </c>
      <c r="K20" s="58"/>
      <c r="L20" s="78" t="s">
        <v>128</v>
      </c>
      <c r="M20" s="2"/>
      <c r="N20" s="2"/>
      <c r="Q20" s="2" t="s">
        <v>7</v>
      </c>
    </row>
    <row r="21" spans="1:17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45"/>
      <c r="J21" s="51" t="s">
        <v>60</v>
      </c>
      <c r="K21" s="46"/>
      <c r="L21" s="4"/>
      <c r="M21" s="2"/>
      <c r="N21" s="2"/>
      <c r="Q21" s="2" t="s">
        <v>95</v>
      </c>
    </row>
    <row r="22" spans="1:17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Q22" s="2" t="s">
        <v>96</v>
      </c>
    </row>
    <row r="23" spans="1:17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Q23" s="2" t="s">
        <v>97</v>
      </c>
    </row>
    <row r="24" spans="1:17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Q24" s="2" t="s">
        <v>98</v>
      </c>
    </row>
    <row r="25" spans="1:17" ht="18" customHeight="1" x14ac:dyDescent="0.3">
      <c r="A25" s="29">
        <v>10</v>
      </c>
      <c r="B25" s="153" t="s">
        <v>8</v>
      </c>
      <c r="C25" s="154"/>
      <c r="D25" s="28">
        <v>3</v>
      </c>
      <c r="E25" s="7">
        <v>3</v>
      </c>
      <c r="F25" s="7">
        <v>3</v>
      </c>
      <c r="G25" s="22">
        <f t="shared" si="0"/>
        <v>1</v>
      </c>
      <c r="H25" s="130"/>
      <c r="I25" s="130"/>
      <c r="J25" s="130"/>
      <c r="K25" s="130"/>
      <c r="M25" s="2"/>
      <c r="N25" s="2"/>
      <c r="Q25" s="2" t="s">
        <v>99</v>
      </c>
    </row>
    <row r="26" spans="1:17" ht="18" customHeight="1" x14ac:dyDescent="0.3">
      <c r="A26" s="29">
        <v>11</v>
      </c>
      <c r="B26" s="178" t="s">
        <v>91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Q26" s="2" t="s">
        <v>100</v>
      </c>
    </row>
    <row r="27" spans="1:17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Q27" s="2" t="s">
        <v>101</v>
      </c>
    </row>
    <row r="28" spans="1:17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17" ht="18" customHeight="1" thickBot="1" x14ac:dyDescent="0.35">
      <c r="A29" s="29">
        <v>14</v>
      </c>
      <c r="B29" s="192" t="s">
        <v>68</v>
      </c>
      <c r="C29" s="193"/>
      <c r="D29" s="28">
        <v>3</v>
      </c>
      <c r="E29" s="7">
        <v>3</v>
      </c>
      <c r="F29" s="7">
        <v>3</v>
      </c>
      <c r="G29" s="22">
        <f t="shared" si="0"/>
        <v>1</v>
      </c>
      <c r="H29" s="130"/>
      <c r="I29" s="130"/>
      <c r="J29" s="130"/>
      <c r="K29" s="130"/>
    </row>
    <row r="30" spans="1:17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hidden="1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  <row r="62" spans="5:15" x14ac:dyDescent="0.3">
      <c r="K62" s="1" t="str">
        <f>IF(MAESTRO!A22="","",MAESTRO!A22)</f>
        <v/>
      </c>
    </row>
  </sheetData>
  <sheetProtection selectLockedCells="1"/>
  <dataConsolidate/>
  <mergeCells count="49">
    <mergeCell ref="A35:K36"/>
    <mergeCell ref="A32:B32"/>
    <mergeCell ref="C32:D32"/>
    <mergeCell ref="A33:B33"/>
    <mergeCell ref="C33:D33"/>
    <mergeCell ref="B27:C27"/>
    <mergeCell ref="H27:K27"/>
    <mergeCell ref="B28:C28"/>
    <mergeCell ref="H28:K28"/>
    <mergeCell ref="A30:F30"/>
    <mergeCell ref="G30:K30"/>
    <mergeCell ref="B29:C29"/>
    <mergeCell ref="H29:K29"/>
    <mergeCell ref="B26:C26"/>
    <mergeCell ref="H26:K26"/>
    <mergeCell ref="B11:C11"/>
    <mergeCell ref="B12:C12"/>
    <mergeCell ref="B13:C13"/>
    <mergeCell ref="H23:K23"/>
    <mergeCell ref="H24:K24"/>
    <mergeCell ref="B25:C25"/>
    <mergeCell ref="H25:K25"/>
    <mergeCell ref="B24:C24"/>
    <mergeCell ref="B23:C23"/>
    <mergeCell ref="H11:K11"/>
    <mergeCell ref="H12:K12"/>
    <mergeCell ref="H13:K13"/>
    <mergeCell ref="H14:K14"/>
    <mergeCell ref="G15:G22"/>
    <mergeCell ref="J1:K1"/>
    <mergeCell ref="J3:K3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H22:K22"/>
    <mergeCell ref="B14:C14"/>
    <mergeCell ref="A15:A22"/>
    <mergeCell ref="B15:C22"/>
    <mergeCell ref="D15:D22"/>
    <mergeCell ref="E15:E22"/>
    <mergeCell ref="F15:F22"/>
  </mergeCells>
  <dataValidations count="4">
    <dataValidation type="list" allowBlank="1" showInputMessage="1" showErrorMessage="1" sqref="D9" xr:uid="{00000000-0002-0000-0C00-000000000000}">
      <formula1>$M$33:$M$48</formula1>
    </dataValidation>
    <dataValidation type="list" allowBlank="1" showInputMessage="1" showErrorMessage="1" sqref="D10:D14 D23:D25 D27:D29 D26:F26" xr:uid="{00000000-0002-0000-0C00-000001000000}">
      <formula1>$M$33:$M$49</formula1>
    </dataValidation>
    <dataValidation type="list" allowBlank="1" showInputMessage="1" showErrorMessage="1" sqref="D15 E9:F15 E23:F25 E27:F29" xr:uid="{00000000-0002-0000-0C00-000002000000}">
      <formula1>$M$41:$M$55</formula1>
    </dataValidation>
    <dataValidation type="list" allowBlank="1" showInputMessage="1" showErrorMessage="1" sqref="C5:G5" xr:uid="{00000000-0002-0000-0C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/>
  <dimension ref="A1:Q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4.33203125" style="2" customWidth="1" collapsed="1"/>
    <col min="3" max="3" width="33.1093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7" t="s">
        <v>47</v>
      </c>
      <c r="K1" s="198"/>
      <c r="L1" s="78" t="s">
        <v>109</v>
      </c>
    </row>
    <row r="2" spans="1:17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7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7" ht="15.75" customHeight="1" x14ac:dyDescent="0.3">
      <c r="A5" s="3"/>
      <c r="B5" s="13" t="s">
        <v>30</v>
      </c>
      <c r="C5" s="136" t="s">
        <v>122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7" ht="15.75" customHeight="1" x14ac:dyDescent="0.3">
      <c r="A6" s="18"/>
      <c r="E6" s="19"/>
      <c r="F6" s="19"/>
      <c r="G6" s="11"/>
      <c r="L6" s="78" t="s">
        <v>114</v>
      </c>
    </row>
    <row r="7" spans="1:17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7" ht="28.8" x14ac:dyDescent="0.3">
      <c r="A8" s="48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7" ht="18" customHeight="1" x14ac:dyDescent="0.3">
      <c r="A9" s="29">
        <v>1</v>
      </c>
      <c r="B9" s="153" t="s">
        <v>27</v>
      </c>
      <c r="C9" s="154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Q9" s="2" t="s">
        <v>2</v>
      </c>
    </row>
    <row r="10" spans="1:17" ht="18" customHeight="1" x14ac:dyDescent="0.3">
      <c r="A10" s="29">
        <v>2</v>
      </c>
      <c r="B10" s="153" t="s">
        <v>26</v>
      </c>
      <c r="C10" s="154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Q10" s="2" t="s">
        <v>46</v>
      </c>
    </row>
    <row r="11" spans="1:17" ht="18" customHeight="1" x14ac:dyDescent="0.3">
      <c r="A11" s="29">
        <v>3</v>
      </c>
      <c r="B11" s="153" t="s">
        <v>29</v>
      </c>
      <c r="C11" s="154"/>
      <c r="D11" s="28">
        <v>2</v>
      </c>
      <c r="E11" s="7">
        <v>2</v>
      </c>
      <c r="F11" s="7">
        <v>2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Q11" s="2" t="s">
        <v>92</v>
      </c>
    </row>
    <row r="12" spans="1:17" ht="18" customHeight="1" x14ac:dyDescent="0.3">
      <c r="A12" s="29">
        <v>4</v>
      </c>
      <c r="B12" s="153" t="s">
        <v>28</v>
      </c>
      <c r="C12" s="154"/>
      <c r="D12" s="28">
        <v>2</v>
      </c>
      <c r="E12" s="7">
        <v>2</v>
      </c>
      <c r="F12" s="7">
        <v>2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Q12" s="2" t="s">
        <v>12</v>
      </c>
    </row>
    <row r="13" spans="1:17" ht="18" customHeight="1" x14ac:dyDescent="0.3">
      <c r="A13" s="29">
        <v>5</v>
      </c>
      <c r="B13" s="153" t="s">
        <v>20</v>
      </c>
      <c r="C13" s="154"/>
      <c r="D13" s="28">
        <v>2</v>
      </c>
      <c r="E13" s="7">
        <v>2</v>
      </c>
      <c r="F13" s="7">
        <v>2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Q13" s="2" t="s">
        <v>45</v>
      </c>
    </row>
    <row r="14" spans="1:17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Q14" s="2" t="s">
        <v>11</v>
      </c>
    </row>
    <row r="15" spans="1:17" ht="18" customHeight="1" x14ac:dyDescent="0.3">
      <c r="A15" s="173">
        <v>7</v>
      </c>
      <c r="B15" s="161" t="s">
        <v>22</v>
      </c>
      <c r="C15" s="162"/>
      <c r="D15" s="167">
        <v>2</v>
      </c>
      <c r="E15" s="170">
        <v>2</v>
      </c>
      <c r="F15" s="170">
        <v>2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65"/>
      <c r="J15" s="51" t="s">
        <v>60</v>
      </c>
      <c r="K15" s="46"/>
      <c r="L15" s="78" t="s">
        <v>123</v>
      </c>
      <c r="Q15" s="2" t="s">
        <v>93</v>
      </c>
    </row>
    <row r="16" spans="1:17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2"/>
      <c r="J16" s="51" t="s">
        <v>60</v>
      </c>
      <c r="K16" s="46"/>
      <c r="L16" s="78" t="s">
        <v>124</v>
      </c>
      <c r="M16" s="2"/>
      <c r="N16" s="2"/>
      <c r="Q16" s="2" t="s">
        <v>94</v>
      </c>
    </row>
    <row r="17" spans="1:17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2"/>
      <c r="J17" s="51" t="s">
        <v>60</v>
      </c>
      <c r="K17" s="46"/>
      <c r="L17" s="78" t="s">
        <v>125</v>
      </c>
      <c r="M17" s="2"/>
      <c r="N17" s="2"/>
      <c r="Q17" s="2" t="s">
        <v>13</v>
      </c>
    </row>
    <row r="18" spans="1:17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73"/>
      <c r="J18" s="51" t="s">
        <v>60</v>
      </c>
      <c r="K18" s="46"/>
      <c r="L18" s="78" t="s">
        <v>126</v>
      </c>
      <c r="M18" s="2"/>
      <c r="N18" s="2"/>
      <c r="Q18" s="2" t="s">
        <v>6</v>
      </c>
    </row>
    <row r="19" spans="1:17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74"/>
      <c r="J19" s="51" t="s">
        <v>60</v>
      </c>
      <c r="K19" s="46"/>
      <c r="L19" s="78" t="s">
        <v>127</v>
      </c>
      <c r="M19" s="2"/>
      <c r="N19" s="2"/>
      <c r="Q19" s="2" t="s">
        <v>76</v>
      </c>
    </row>
    <row r="20" spans="1:17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62"/>
      <c r="J20" s="51" t="s">
        <v>60</v>
      </c>
      <c r="K20" s="46"/>
      <c r="L20" s="78" t="s">
        <v>128</v>
      </c>
      <c r="M20" s="2"/>
      <c r="N20" s="2"/>
      <c r="Q20" s="2" t="s">
        <v>7</v>
      </c>
    </row>
    <row r="21" spans="1:17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62"/>
      <c r="J21" s="51" t="s">
        <v>60</v>
      </c>
      <c r="K21" s="46"/>
      <c r="L21" s="4"/>
      <c r="M21" s="2"/>
      <c r="N21" s="2"/>
      <c r="Q21" s="2" t="s">
        <v>95</v>
      </c>
    </row>
    <row r="22" spans="1:17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Q22" s="2" t="s">
        <v>96</v>
      </c>
    </row>
    <row r="23" spans="1:17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Q23" s="2" t="s">
        <v>97</v>
      </c>
    </row>
    <row r="24" spans="1:17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Q24" s="2" t="s">
        <v>98</v>
      </c>
    </row>
    <row r="25" spans="1:17" ht="18" customHeight="1" x14ac:dyDescent="0.3">
      <c r="A25" s="29">
        <v>10</v>
      </c>
      <c r="B25" s="153" t="s">
        <v>8</v>
      </c>
      <c r="C25" s="154"/>
      <c r="D25" s="28">
        <v>2</v>
      </c>
      <c r="E25" s="7">
        <v>2</v>
      </c>
      <c r="F25" s="7">
        <v>2</v>
      </c>
      <c r="G25" s="22">
        <f t="shared" si="0"/>
        <v>1</v>
      </c>
      <c r="H25" s="130"/>
      <c r="I25" s="130"/>
      <c r="J25" s="130"/>
      <c r="K25" s="130"/>
      <c r="M25" s="2"/>
      <c r="N25" s="2"/>
      <c r="Q25" s="2" t="s">
        <v>99</v>
      </c>
    </row>
    <row r="26" spans="1:17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Q26" s="2" t="s">
        <v>100</v>
      </c>
    </row>
    <row r="27" spans="1:17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Q27" s="2" t="s">
        <v>101</v>
      </c>
    </row>
    <row r="28" spans="1:17" ht="18" customHeight="1" x14ac:dyDescent="0.3">
      <c r="A28" s="29">
        <v>13</v>
      </c>
      <c r="B28" s="184" t="s">
        <v>54</v>
      </c>
      <c r="C28" s="185"/>
      <c r="D28" s="47">
        <v>0</v>
      </c>
      <c r="E28" s="7">
        <v>1</v>
      </c>
      <c r="F28" s="7">
        <v>1</v>
      </c>
      <c r="G28" s="49" t="str">
        <f t="shared" si="0"/>
        <v>-</v>
      </c>
      <c r="H28" s="186"/>
      <c r="I28" s="186"/>
      <c r="J28" s="186"/>
      <c r="K28" s="186"/>
    </row>
    <row r="29" spans="1:17" ht="18" customHeight="1" thickBot="1" x14ac:dyDescent="0.35">
      <c r="A29" s="29">
        <v>14</v>
      </c>
      <c r="B29" s="192" t="s">
        <v>68</v>
      </c>
      <c r="C29" s="193"/>
      <c r="D29" s="28">
        <v>2</v>
      </c>
      <c r="E29" s="7">
        <v>2</v>
      </c>
      <c r="F29" s="7">
        <v>2</v>
      </c>
      <c r="G29" s="22">
        <f t="shared" si="0"/>
        <v>1</v>
      </c>
      <c r="H29" s="130"/>
      <c r="I29" s="130"/>
      <c r="J29" s="130"/>
      <c r="K29" s="130"/>
    </row>
    <row r="30" spans="1:17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1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1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1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1" t="str">
        <f>IF(MAESTRO!A4="","",MAESTRO!A4)</f>
        <v>LA CASA DE LA CAÑA, C.A. (T. CUMANÁ)</v>
      </c>
      <c r="L44" s="1"/>
      <c r="M44" s="16">
        <v>4</v>
      </c>
      <c r="N44" s="15"/>
      <c r="O44" s="6" t="s">
        <v>37</v>
      </c>
    </row>
    <row r="45" spans="1:16" hidden="1" x14ac:dyDescent="0.3">
      <c r="K45" s="1" t="str">
        <f>IF(MAESTRO!A5="","",MAESTRO!A5)</f>
        <v>LA CASA DE LA CAÑA, C.A. (T. MATURÍN I)</v>
      </c>
      <c r="L45" s="1"/>
      <c r="M45" s="15">
        <v>5</v>
      </c>
      <c r="N45" s="15"/>
      <c r="O45" s="6" t="s">
        <v>38</v>
      </c>
    </row>
    <row r="46" spans="1:16" hidden="1" x14ac:dyDescent="0.3">
      <c r="K46" s="1" t="str">
        <f>IF(MAESTRO!A6="","",MAESTRO!A6)</f>
        <v>LA CASA DE LA CAÑA, C.A. (T. MATURÍN II)</v>
      </c>
      <c r="L46" s="1"/>
      <c r="M46" s="15">
        <v>6</v>
      </c>
      <c r="N46" s="15"/>
      <c r="O46" s="6" t="s">
        <v>39</v>
      </c>
    </row>
    <row r="47" spans="1:16" hidden="1" x14ac:dyDescent="0.3">
      <c r="K47" s="1" t="str">
        <f>IF(MAESTRO!A7="","",MAESTRO!A7)</f>
        <v>LA CASA DE LA CAÑA, C.A. (T. NVA. BARCELONA)</v>
      </c>
      <c r="L47" s="1"/>
      <c r="M47" s="15">
        <v>7</v>
      </c>
      <c r="N47" s="15"/>
      <c r="O47" s="6" t="s">
        <v>40</v>
      </c>
    </row>
    <row r="48" spans="1:16" hidden="1" x14ac:dyDescent="0.3">
      <c r="K48" s="1" t="str">
        <f>IF(MAESTRO!A8="","",MAESTRO!A8)</f>
        <v>INVERSIONES CAÑANDONGA,C.A (T. CONEJERO)</v>
      </c>
      <c r="L48" s="1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1" t="str">
        <f>IF(MAESTRO!A9="","",MAESTRO!A9)</f>
        <v>OPERADORA EL MERCADO 2011, C.A. (T. MERCADO)</v>
      </c>
      <c r="L49" s="1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1" t="str">
        <f>IF(MAESTRO!A10="","",MAESTRO!A10)</f>
        <v>OPERADORA EL PUENTE 2011, C.A. (T. PUENTE REAL)</v>
      </c>
      <c r="L50" s="1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1" t="str">
        <f>IF(MAESTRO!A11="","",MAESTRO!A11)</f>
        <v>OPERADORA LECHERÍA 2011, C.A. (T. LECHERÍA)</v>
      </c>
      <c r="L51" s="1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1" t="str">
        <f>IF(MAESTRO!A12="","",MAESTRO!A12)</f>
        <v>OPERADORA PUERTO LA CRUZ 2011, C.A. (T. PUERTO LA CRUZ)</v>
      </c>
      <c r="L52" s="1"/>
      <c r="M52" s="15">
        <v>12</v>
      </c>
      <c r="N52" s="15"/>
      <c r="O52" s="6"/>
    </row>
    <row r="53" spans="5:15" hidden="1" x14ac:dyDescent="0.3">
      <c r="E53" s="2"/>
      <c r="F53" s="2"/>
      <c r="G53" s="2"/>
      <c r="K53" s="1" t="str">
        <f>IF(MAESTRO!A13="","",MAESTRO!A13)</f>
        <v>OPERADORA PUERTO ORDAZ 2013, C.A.(T. PUERTO ORDAZ)</v>
      </c>
      <c r="L53" s="1"/>
      <c r="M53" s="15">
        <v>13</v>
      </c>
      <c r="N53" s="15"/>
      <c r="O53" s="6"/>
    </row>
    <row r="54" spans="5:15" hidden="1" x14ac:dyDescent="0.3">
      <c r="E54" s="2"/>
      <c r="F54" s="2"/>
      <c r="G54" s="2"/>
      <c r="K54" s="1" t="str">
        <f>IF(MAESTRO!A14="","",MAESTRO!A14)</f>
        <v>OPERADORA LAS AMERICAS, C.A</v>
      </c>
      <c r="L54" s="1"/>
      <c r="M54" s="15">
        <v>14</v>
      </c>
      <c r="N54" s="15"/>
      <c r="O54" s="6"/>
    </row>
    <row r="55" spans="5:15" hidden="1" x14ac:dyDescent="0.3">
      <c r="E55" s="2"/>
      <c r="F55" s="2"/>
      <c r="G55" s="2"/>
      <c r="K55" s="1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1" t="str">
        <f>IF(MAESTRO!A16="","",MAESTRO!A16)</f>
        <v>RELIVE, C.A. (T. CHUPARÍN)</v>
      </c>
    </row>
    <row r="57" spans="5:15" hidden="1" x14ac:dyDescent="0.3">
      <c r="K57" s="1" t="str">
        <f>IF(MAESTRO!A17="","",MAESTRO!A17)</f>
        <v>RELIVE, C.A. (T. TERRAZAS)</v>
      </c>
    </row>
    <row r="58" spans="5:15" hidden="1" x14ac:dyDescent="0.3">
      <c r="K58" s="1" t="str">
        <f>IF(MAESTRO!A18="","",MAESTRO!A18)</f>
        <v>RELIVE, C.A. (T. TIGRE II)</v>
      </c>
    </row>
    <row r="59" spans="5:15" x14ac:dyDescent="0.3">
      <c r="K59" s="1" t="str">
        <f>IF(MAESTRO!A19="","",MAESTRO!A19)</f>
        <v>RELIVE, C.A. (T. TIGRE III)</v>
      </c>
    </row>
    <row r="60" spans="5:15" x14ac:dyDescent="0.3">
      <c r="K60" s="1" t="str">
        <f>IF(MAESTRO!A20="","",MAESTRO!A20)</f>
        <v/>
      </c>
    </row>
    <row r="61" spans="5:15" x14ac:dyDescent="0.3">
      <c r="K61" s="1" t="str">
        <f>IF(MAESTRO!A21="","",MAESTRO!A21)</f>
        <v/>
      </c>
    </row>
  </sheetData>
  <dataConsolidate/>
  <mergeCells count="49">
    <mergeCell ref="A35:K36"/>
    <mergeCell ref="A32:B32"/>
    <mergeCell ref="C32:D32"/>
    <mergeCell ref="A33:B33"/>
    <mergeCell ref="C33:D33"/>
    <mergeCell ref="B27:C27"/>
    <mergeCell ref="H27:K27"/>
    <mergeCell ref="B28:C28"/>
    <mergeCell ref="H28:K28"/>
    <mergeCell ref="A30:F30"/>
    <mergeCell ref="G30:K30"/>
    <mergeCell ref="B29:C29"/>
    <mergeCell ref="H29:K29"/>
    <mergeCell ref="B26:C26"/>
    <mergeCell ref="H26:K26"/>
    <mergeCell ref="B11:C11"/>
    <mergeCell ref="B12:C12"/>
    <mergeCell ref="B13:C13"/>
    <mergeCell ref="H23:K23"/>
    <mergeCell ref="H24:K24"/>
    <mergeCell ref="B25:C25"/>
    <mergeCell ref="H25:K25"/>
    <mergeCell ref="B24:C24"/>
    <mergeCell ref="B23:C23"/>
    <mergeCell ref="H11:K11"/>
    <mergeCell ref="H12:K12"/>
    <mergeCell ref="H13:K13"/>
    <mergeCell ref="H14:K14"/>
    <mergeCell ref="G15:G22"/>
    <mergeCell ref="J3:K3"/>
    <mergeCell ref="J1:K1"/>
    <mergeCell ref="C1:H3"/>
    <mergeCell ref="A1:B3"/>
    <mergeCell ref="H10:K10"/>
    <mergeCell ref="B10:C10"/>
    <mergeCell ref="B9:C9"/>
    <mergeCell ref="H9:K9"/>
    <mergeCell ref="C5:G5"/>
    <mergeCell ref="I5:J5"/>
    <mergeCell ref="B8:C8"/>
    <mergeCell ref="A7:K7"/>
    <mergeCell ref="H8:K8"/>
    <mergeCell ref="H22:K22"/>
    <mergeCell ref="B14:C14"/>
    <mergeCell ref="A15:A22"/>
    <mergeCell ref="B15:C22"/>
    <mergeCell ref="D15:D22"/>
    <mergeCell ref="E15:E22"/>
    <mergeCell ref="F15:F22"/>
  </mergeCells>
  <dataValidations count="4">
    <dataValidation type="list" allowBlank="1" showInputMessage="1" showErrorMessage="1" sqref="D10:D14 D23:D25 D27:D29 D26:F26" xr:uid="{00000000-0002-0000-0D00-000000000000}">
      <formula1>$M$33:$M$49</formula1>
    </dataValidation>
    <dataValidation type="list" allowBlank="1" showInputMessage="1" showErrorMessage="1" sqref="D9" xr:uid="{00000000-0002-0000-0D00-000001000000}">
      <formula1>$M$33:$M$48</formula1>
    </dataValidation>
    <dataValidation type="list" allowBlank="1" showInputMessage="1" showErrorMessage="1" sqref="D15 E9:F15 E23:F25 E27:F29" xr:uid="{00000000-0002-0000-0D00-000002000000}">
      <formula1>$M$41:$M$55</formula1>
    </dataValidation>
    <dataValidation type="list" allowBlank="1" showInputMessage="1" showErrorMessage="1" sqref="C5:G5" xr:uid="{00000000-0002-0000-0D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3" orientation="portrait" r:id="rId1"/>
  <headerFooter>
    <oddFooter>&amp;RPág. &amp;P -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0"/>
  <dimension ref="A1:Q65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.88671875" style="2" customWidth="1" collapsed="1"/>
    <col min="3" max="3" width="28.664062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11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7" t="s">
        <v>47</v>
      </c>
      <c r="K1" s="198"/>
      <c r="L1" s="78" t="s">
        <v>109</v>
      </c>
    </row>
    <row r="2" spans="1:17" ht="21.7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7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7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7" x14ac:dyDescent="0.3">
      <c r="A5" s="3"/>
      <c r="B5" s="13" t="s">
        <v>30</v>
      </c>
      <c r="C5" s="136" t="s">
        <v>124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7" x14ac:dyDescent="0.3">
      <c r="A6" s="18"/>
      <c r="E6" s="19"/>
      <c r="F6" s="19"/>
      <c r="G6" s="11"/>
      <c r="L6" s="78" t="s">
        <v>114</v>
      </c>
    </row>
    <row r="7" spans="1:17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7" ht="28.8" x14ac:dyDescent="0.3">
      <c r="A8" s="54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7" x14ac:dyDescent="0.3">
      <c r="A9" s="29">
        <v>1</v>
      </c>
      <c r="B9" s="153" t="s">
        <v>27</v>
      </c>
      <c r="C9" s="154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Q9" s="2" t="s">
        <v>2</v>
      </c>
    </row>
    <row r="10" spans="1:17" x14ac:dyDescent="0.3">
      <c r="A10" s="29">
        <v>2</v>
      </c>
      <c r="B10" s="153" t="s">
        <v>26</v>
      </c>
      <c r="C10" s="154"/>
      <c r="D10" s="28">
        <v>2</v>
      </c>
      <c r="E10" s="7">
        <v>2</v>
      </c>
      <c r="F10" s="7">
        <v>2</v>
      </c>
      <c r="G10" s="22">
        <f t="shared" ref="G10:G30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Q10" s="2" t="s">
        <v>46</v>
      </c>
    </row>
    <row r="11" spans="1:17" x14ac:dyDescent="0.3">
      <c r="A11" s="29">
        <v>3</v>
      </c>
      <c r="B11" s="153" t="s">
        <v>29</v>
      </c>
      <c r="C11" s="154"/>
      <c r="D11" s="28">
        <v>2</v>
      </c>
      <c r="E11" s="7">
        <v>2</v>
      </c>
      <c r="F11" s="7">
        <v>2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Q11" s="2" t="s">
        <v>92</v>
      </c>
    </row>
    <row r="12" spans="1:17" x14ac:dyDescent="0.3">
      <c r="A12" s="29">
        <v>4</v>
      </c>
      <c r="B12" s="153" t="s">
        <v>28</v>
      </c>
      <c r="C12" s="154"/>
      <c r="D12" s="28">
        <v>2</v>
      </c>
      <c r="E12" s="7">
        <v>2</v>
      </c>
      <c r="F12" s="7">
        <v>2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Q12" s="2" t="s">
        <v>12</v>
      </c>
    </row>
    <row r="13" spans="1:17" x14ac:dyDescent="0.3">
      <c r="A13" s="29">
        <v>5</v>
      </c>
      <c r="B13" s="153" t="s">
        <v>20</v>
      </c>
      <c r="C13" s="154"/>
      <c r="D13" s="28">
        <v>2</v>
      </c>
      <c r="E13" s="7">
        <v>2</v>
      </c>
      <c r="F13" s="7">
        <v>2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Q13" s="2" t="s">
        <v>45</v>
      </c>
    </row>
    <row r="14" spans="1:17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Q14" s="2" t="s">
        <v>11</v>
      </c>
    </row>
    <row r="15" spans="1:17" x14ac:dyDescent="0.3">
      <c r="A15" s="173">
        <v>7</v>
      </c>
      <c r="B15" s="161" t="s">
        <v>22</v>
      </c>
      <c r="C15" s="162"/>
      <c r="D15" s="167">
        <v>2</v>
      </c>
      <c r="E15" s="170">
        <v>2</v>
      </c>
      <c r="F15" s="170">
        <v>2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65"/>
      <c r="J15" s="51" t="s">
        <v>60</v>
      </c>
      <c r="K15" s="53"/>
      <c r="L15" s="78" t="s">
        <v>123</v>
      </c>
      <c r="Q15" s="2" t="s">
        <v>93</v>
      </c>
    </row>
    <row r="16" spans="1:17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9"/>
      <c r="J16" s="51" t="s">
        <v>60</v>
      </c>
      <c r="K16" s="53"/>
      <c r="L16" s="78" t="s">
        <v>124</v>
      </c>
      <c r="M16" s="2"/>
      <c r="N16" s="2"/>
      <c r="Q16" s="2" t="s">
        <v>94</v>
      </c>
    </row>
    <row r="17" spans="1:17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9"/>
      <c r="J17" s="51" t="s">
        <v>60</v>
      </c>
      <c r="K17" s="53"/>
      <c r="L17" s="78" t="s">
        <v>125</v>
      </c>
      <c r="M17" s="2"/>
      <c r="N17" s="2"/>
      <c r="Q17" s="2" t="s">
        <v>13</v>
      </c>
    </row>
    <row r="18" spans="1:17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75"/>
      <c r="J18" s="51" t="s">
        <v>60</v>
      </c>
      <c r="K18" s="53"/>
      <c r="L18" s="78" t="s">
        <v>126</v>
      </c>
      <c r="M18" s="2"/>
      <c r="N18" s="2"/>
      <c r="Q18" s="2" t="s">
        <v>6</v>
      </c>
    </row>
    <row r="19" spans="1:17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76"/>
      <c r="J19" s="51" t="s">
        <v>60</v>
      </c>
      <c r="K19" s="53"/>
      <c r="L19" s="78" t="s">
        <v>127</v>
      </c>
      <c r="M19" s="2"/>
      <c r="N19" s="2"/>
      <c r="Q19" s="2" t="s">
        <v>76</v>
      </c>
    </row>
    <row r="20" spans="1:17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75"/>
      <c r="J20" s="51" t="s">
        <v>60</v>
      </c>
      <c r="K20" s="59"/>
      <c r="L20" s="78" t="s">
        <v>128</v>
      </c>
      <c r="M20" s="2"/>
      <c r="N20" s="2"/>
      <c r="Q20" s="2" t="s">
        <v>7</v>
      </c>
    </row>
    <row r="21" spans="1:17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75"/>
      <c r="J21" s="51" t="s">
        <v>60</v>
      </c>
      <c r="K21" s="53"/>
      <c r="M21" s="2"/>
      <c r="N21" s="2"/>
      <c r="Q21" s="2" t="s">
        <v>95</v>
      </c>
    </row>
    <row r="22" spans="1:17" x14ac:dyDescent="0.3">
      <c r="A22" s="174"/>
      <c r="B22" s="163"/>
      <c r="C22" s="164"/>
      <c r="D22" s="168"/>
      <c r="E22" s="171"/>
      <c r="F22" s="171"/>
      <c r="G22" s="156"/>
      <c r="H22" s="51" t="s">
        <v>83</v>
      </c>
      <c r="I22" s="76"/>
      <c r="J22" s="51" t="s">
        <v>60</v>
      </c>
      <c r="K22" s="53"/>
      <c r="L22" s="4"/>
      <c r="M22" s="2"/>
      <c r="N22" s="2"/>
      <c r="Q22" s="2" t="s">
        <v>96</v>
      </c>
    </row>
    <row r="23" spans="1:17" x14ac:dyDescent="0.3">
      <c r="A23" s="175"/>
      <c r="B23" s="165"/>
      <c r="C23" s="166"/>
      <c r="D23" s="169"/>
      <c r="E23" s="172"/>
      <c r="F23" s="172"/>
      <c r="G23" s="157"/>
      <c r="H23" s="158"/>
      <c r="I23" s="159"/>
      <c r="J23" s="159"/>
      <c r="K23" s="160"/>
      <c r="L23" s="4"/>
      <c r="M23" s="2"/>
      <c r="N23" s="2"/>
      <c r="Q23" s="2" t="s">
        <v>97</v>
      </c>
    </row>
    <row r="24" spans="1:17" x14ac:dyDescent="0.3">
      <c r="A24" s="29">
        <v>8</v>
      </c>
      <c r="B24" s="131" t="s">
        <v>19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Q24" s="2" t="s">
        <v>98</v>
      </c>
    </row>
    <row r="25" spans="1:17" x14ac:dyDescent="0.3">
      <c r="A25" s="29">
        <v>9</v>
      </c>
      <c r="B25" s="131" t="s">
        <v>18</v>
      </c>
      <c r="C25" s="132"/>
      <c r="D25" s="28">
        <v>1</v>
      </c>
      <c r="E25" s="7">
        <v>1</v>
      </c>
      <c r="F25" s="7">
        <v>1</v>
      </c>
      <c r="G25" s="22">
        <f t="shared" si="0"/>
        <v>1</v>
      </c>
      <c r="H25" s="130"/>
      <c r="I25" s="130"/>
      <c r="J25" s="130"/>
      <c r="K25" s="130"/>
      <c r="M25" s="2"/>
      <c r="N25" s="2"/>
      <c r="Q25" s="2" t="s">
        <v>99</v>
      </c>
    </row>
    <row r="26" spans="1:17" x14ac:dyDescent="0.3">
      <c r="A26" s="29">
        <v>10</v>
      </c>
      <c r="B26" s="153" t="s">
        <v>8</v>
      </c>
      <c r="C26" s="154"/>
      <c r="D26" s="28">
        <v>2</v>
      </c>
      <c r="E26" s="7">
        <v>2</v>
      </c>
      <c r="F26" s="7">
        <v>2</v>
      </c>
      <c r="G26" s="22">
        <f t="shared" si="0"/>
        <v>1</v>
      </c>
      <c r="H26" s="130"/>
      <c r="I26" s="130"/>
      <c r="J26" s="130"/>
      <c r="K26" s="130"/>
      <c r="M26" s="2"/>
      <c r="N26" s="2"/>
      <c r="Q26" s="2" t="s">
        <v>100</v>
      </c>
    </row>
    <row r="27" spans="1:17" x14ac:dyDescent="0.3">
      <c r="A27" s="29">
        <v>11</v>
      </c>
      <c r="B27" s="178" t="s">
        <v>103</v>
      </c>
      <c r="C27" s="179"/>
      <c r="D27" s="28">
        <v>0</v>
      </c>
      <c r="E27" s="28">
        <v>1</v>
      </c>
      <c r="F27" s="28">
        <v>1</v>
      </c>
      <c r="G27" s="22" t="str">
        <f t="shared" si="0"/>
        <v>-</v>
      </c>
      <c r="H27" s="113"/>
      <c r="I27" s="114"/>
      <c r="J27" s="114"/>
      <c r="K27" s="115"/>
      <c r="M27" s="2"/>
      <c r="N27" s="2"/>
      <c r="Q27" s="2" t="s">
        <v>101</v>
      </c>
    </row>
    <row r="28" spans="1:17" ht="18" customHeight="1" x14ac:dyDescent="0.3">
      <c r="A28" s="29">
        <v>12</v>
      </c>
      <c r="B28" s="176" t="s">
        <v>58</v>
      </c>
      <c r="C28" s="177"/>
      <c r="D28" s="28">
        <v>1</v>
      </c>
      <c r="E28" s="7">
        <v>1</v>
      </c>
      <c r="F28" s="7">
        <v>1</v>
      </c>
      <c r="G28" s="22">
        <f t="shared" si="0"/>
        <v>1</v>
      </c>
      <c r="H28" s="130"/>
      <c r="I28" s="130"/>
      <c r="J28" s="130"/>
      <c r="K28" s="130"/>
    </row>
    <row r="29" spans="1:17" ht="18" customHeight="1" x14ac:dyDescent="0.3">
      <c r="A29" s="29">
        <v>13</v>
      </c>
      <c r="B29" s="184" t="s">
        <v>54</v>
      </c>
      <c r="C29" s="185"/>
      <c r="D29" s="55">
        <v>0</v>
      </c>
      <c r="E29" s="7">
        <v>1</v>
      </c>
      <c r="F29" s="7">
        <v>1</v>
      </c>
      <c r="G29" s="52" t="str">
        <f t="shared" si="0"/>
        <v>-</v>
      </c>
      <c r="H29" s="186"/>
      <c r="I29" s="186"/>
      <c r="J29" s="186"/>
      <c r="K29" s="186"/>
    </row>
    <row r="30" spans="1:17" ht="18" customHeight="1" thickBot="1" x14ac:dyDescent="0.35">
      <c r="A30" s="29">
        <v>14</v>
      </c>
      <c r="B30" s="105" t="s">
        <v>68</v>
      </c>
      <c r="C30" s="196"/>
      <c r="D30" s="28">
        <v>2</v>
      </c>
      <c r="E30" s="7">
        <v>2</v>
      </c>
      <c r="F30" s="7">
        <v>2</v>
      </c>
      <c r="G30" s="22">
        <f t="shared" si="0"/>
        <v>1</v>
      </c>
      <c r="H30" s="130"/>
      <c r="I30" s="130"/>
      <c r="J30" s="130"/>
      <c r="K30" s="130"/>
    </row>
    <row r="31" spans="1:17" ht="19.5" customHeight="1" thickBot="1" x14ac:dyDescent="0.35">
      <c r="A31" s="187" t="s">
        <v>55</v>
      </c>
      <c r="B31" s="188"/>
      <c r="C31" s="188"/>
      <c r="D31" s="188"/>
      <c r="E31" s="188"/>
      <c r="F31" s="188"/>
      <c r="G31" s="189">
        <f>IFERROR(AVERAGE(G9:G29),"-")</f>
        <v>1</v>
      </c>
      <c r="H31" s="190"/>
      <c r="I31" s="190"/>
      <c r="J31" s="190"/>
      <c r="K31" s="191"/>
    </row>
    <row r="32" spans="1:17" x14ac:dyDescent="0.3">
      <c r="A32" s="34"/>
      <c r="E32" s="17"/>
      <c r="F32" s="35"/>
      <c r="G32" s="36"/>
      <c r="H32" s="25"/>
      <c r="I32" s="37"/>
      <c r="J32" s="23"/>
    </row>
    <row r="33" spans="1:16" x14ac:dyDescent="0.3">
      <c r="A33" s="182" t="s">
        <v>57</v>
      </c>
      <c r="B33" s="182"/>
      <c r="C33" s="183"/>
      <c r="D33" s="183"/>
      <c r="E33" s="38"/>
      <c r="F33" s="38"/>
      <c r="G33" s="24"/>
      <c r="H33" s="25"/>
      <c r="I33" s="26"/>
      <c r="J33" s="25"/>
    </row>
    <row r="34" spans="1:16" x14ac:dyDescent="0.3">
      <c r="A34" s="182" t="s">
        <v>59</v>
      </c>
      <c r="B34" s="182"/>
      <c r="C34" s="122"/>
      <c r="D34" s="123"/>
      <c r="E34" s="39"/>
      <c r="F34" s="39"/>
      <c r="G34" s="27"/>
      <c r="H34" s="26"/>
      <c r="I34" s="26"/>
      <c r="J34" s="25"/>
    </row>
    <row r="35" spans="1:16" x14ac:dyDescent="0.3">
      <c r="A35" s="40"/>
      <c r="B35" s="40"/>
      <c r="C35" s="41"/>
      <c r="D35" s="41"/>
      <c r="E35" s="39"/>
      <c r="F35" s="39"/>
      <c r="G35" s="27"/>
      <c r="H35" s="26"/>
      <c r="I35" s="26"/>
      <c r="J35" s="25"/>
    </row>
    <row r="36" spans="1:16" x14ac:dyDescent="0.3">
      <c r="A36" s="181" t="s">
        <v>56</v>
      </c>
      <c r="B36" s="181"/>
      <c r="C36" s="181"/>
      <c r="D36" s="181"/>
      <c r="E36" s="181"/>
      <c r="F36" s="181"/>
      <c r="G36" s="181"/>
      <c r="H36" s="181"/>
      <c r="I36" s="181"/>
      <c r="J36" s="181"/>
      <c r="K36" s="181"/>
    </row>
    <row r="37" spans="1:16" x14ac:dyDescent="0.3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M37" s="2"/>
      <c r="N37" s="2"/>
    </row>
    <row r="38" spans="1:16" hidden="1" x14ac:dyDescent="0.3">
      <c r="M38" s="2"/>
      <c r="N38" s="2"/>
    </row>
    <row r="39" spans="1:16" hidden="1" x14ac:dyDescent="0.3">
      <c r="M39" s="2"/>
      <c r="N39" s="2"/>
    </row>
    <row r="40" spans="1:16" ht="28.8" hidden="1" x14ac:dyDescent="0.3">
      <c r="L40" s="5" t="s">
        <v>15</v>
      </c>
      <c r="M40" s="21" t="s">
        <v>52</v>
      </c>
      <c r="N40" s="21" t="s">
        <v>51</v>
      </c>
      <c r="O40" s="42" t="s">
        <v>32</v>
      </c>
    </row>
    <row r="41" spans="1:16" ht="15.6" hidden="1" x14ac:dyDescent="0.3">
      <c r="K41" s="5" t="s">
        <v>10</v>
      </c>
      <c r="L41" s="8" t="s">
        <v>16</v>
      </c>
      <c r="M41" s="6">
        <v>0</v>
      </c>
      <c r="N41" s="44" t="s">
        <v>16</v>
      </c>
      <c r="O41" s="6" t="s">
        <v>33</v>
      </c>
      <c r="P41" s="10"/>
    </row>
    <row r="42" spans="1:16" hidden="1" x14ac:dyDescent="0.3">
      <c r="K42" s="1" t="str">
        <f>IF(MAESTRO!A1="","",MAESTRO!A1)</f>
        <v>******SUCURSALES</v>
      </c>
      <c r="L42" s="43" t="s">
        <v>17</v>
      </c>
      <c r="M42" s="15">
        <v>1</v>
      </c>
      <c r="N42" s="43" t="s">
        <v>17</v>
      </c>
      <c r="O42" s="6" t="s">
        <v>34</v>
      </c>
    </row>
    <row r="43" spans="1:16" hidden="1" x14ac:dyDescent="0.3">
      <c r="K43" s="1" t="str">
        <f>IF(MAESTRO!A2="","",MAESTRO!A2)</f>
        <v>LA CASA DE LA CAÑA, C.A. (T. ALTERNA)</v>
      </c>
      <c r="M43" s="16">
        <v>2</v>
      </c>
      <c r="N43" s="16"/>
      <c r="O43" s="6" t="s">
        <v>35</v>
      </c>
    </row>
    <row r="44" spans="1:16" hidden="1" x14ac:dyDescent="0.3">
      <c r="K44" s="1" t="str">
        <f>IF(MAESTRO!A3="","",MAESTRO!A3)</f>
        <v>LA CASA DE LA CAÑA, C.A. (T. ANACO)</v>
      </c>
      <c r="M44" s="16">
        <v>3</v>
      </c>
      <c r="N44" s="16"/>
      <c r="O44" s="6" t="s">
        <v>36</v>
      </c>
    </row>
    <row r="45" spans="1:16" hidden="1" x14ac:dyDescent="0.3">
      <c r="K45" s="1" t="str">
        <f>IF(MAESTRO!A4="","",MAESTRO!A4)</f>
        <v>LA CASA DE LA CAÑA, C.A. (T. CUMANÁ)</v>
      </c>
      <c r="L45" s="1"/>
      <c r="M45" s="16">
        <v>4</v>
      </c>
      <c r="N45" s="15"/>
      <c r="O45" s="6" t="s">
        <v>37</v>
      </c>
    </row>
    <row r="46" spans="1:16" hidden="1" x14ac:dyDescent="0.3">
      <c r="K46" s="1" t="str">
        <f>IF(MAESTRO!A5="","",MAESTRO!A5)</f>
        <v>LA CASA DE LA CAÑA, C.A. (T. MATURÍN I)</v>
      </c>
      <c r="L46" s="1"/>
      <c r="M46" s="15">
        <v>5</v>
      </c>
      <c r="N46" s="15"/>
      <c r="O46" s="6" t="s">
        <v>38</v>
      </c>
    </row>
    <row r="47" spans="1:16" hidden="1" x14ac:dyDescent="0.3">
      <c r="K47" s="1" t="str">
        <f>IF(MAESTRO!A6="","",MAESTRO!A6)</f>
        <v>LA CASA DE LA CAÑA, C.A. (T. MATURÍN II)</v>
      </c>
      <c r="L47" s="1"/>
      <c r="M47" s="15">
        <v>6</v>
      </c>
      <c r="N47" s="15"/>
      <c r="O47" s="6" t="s">
        <v>39</v>
      </c>
    </row>
    <row r="48" spans="1:16" hidden="1" x14ac:dyDescent="0.3">
      <c r="K48" s="1" t="str">
        <f>IF(MAESTRO!A7="","",MAESTRO!A7)</f>
        <v>LA CASA DE LA CAÑA, C.A. (T. NVA. BARCELONA)</v>
      </c>
      <c r="L48" s="1"/>
      <c r="M48" s="15">
        <v>7</v>
      </c>
      <c r="N48" s="15"/>
      <c r="O48" s="6" t="s">
        <v>40</v>
      </c>
    </row>
    <row r="49" spans="5:15" hidden="1" x14ac:dyDescent="0.3">
      <c r="K49" s="1" t="str">
        <f>IF(MAESTRO!A8="","",MAESTRO!A8)</f>
        <v>INVERSIONES CAÑANDONGA,C.A (T. CONEJERO)</v>
      </c>
      <c r="L49" s="1"/>
      <c r="M49" s="15">
        <v>8</v>
      </c>
      <c r="N49" s="15"/>
      <c r="O49" s="6" t="s">
        <v>41</v>
      </c>
    </row>
    <row r="50" spans="5:15" hidden="1" x14ac:dyDescent="0.3">
      <c r="E50" s="2"/>
      <c r="F50" s="2"/>
      <c r="G50" s="2"/>
      <c r="K50" s="1" t="str">
        <f>IF(MAESTRO!A9="","",MAESTRO!A9)</f>
        <v>OPERADORA EL MERCADO 2011, C.A. (T. MERCADO)</v>
      </c>
      <c r="L50" s="1"/>
      <c r="M50" s="15">
        <v>9</v>
      </c>
      <c r="N50" s="15"/>
      <c r="O50" s="6" t="s">
        <v>42</v>
      </c>
    </row>
    <row r="51" spans="5:15" hidden="1" x14ac:dyDescent="0.3">
      <c r="E51" s="2"/>
      <c r="F51" s="2"/>
      <c r="G51" s="2"/>
      <c r="K51" s="1" t="str">
        <f>IF(MAESTRO!A10="","",MAESTRO!A10)</f>
        <v>OPERADORA EL PUENTE 2011, C.A. (T. PUENTE REAL)</v>
      </c>
      <c r="L51" s="1"/>
      <c r="M51" s="15">
        <v>10</v>
      </c>
      <c r="N51" s="15"/>
      <c r="O51" s="6" t="s">
        <v>43</v>
      </c>
    </row>
    <row r="52" spans="5:15" hidden="1" x14ac:dyDescent="0.3">
      <c r="E52" s="2"/>
      <c r="F52" s="2"/>
      <c r="G52" s="2"/>
      <c r="K52" s="1" t="str">
        <f>IF(MAESTRO!A11="","",MAESTRO!A11)</f>
        <v>OPERADORA LECHERÍA 2011, C.A. (T. LECHERÍA)</v>
      </c>
      <c r="L52" s="1"/>
      <c r="M52" s="15">
        <v>11</v>
      </c>
      <c r="N52" s="15"/>
      <c r="O52" s="6" t="s">
        <v>44</v>
      </c>
    </row>
    <row r="53" spans="5:15" hidden="1" x14ac:dyDescent="0.3">
      <c r="E53" s="2"/>
      <c r="F53" s="2"/>
      <c r="G53" s="2"/>
      <c r="K53" s="1" t="str">
        <f>IF(MAESTRO!A12="","",MAESTRO!A12)</f>
        <v>OPERADORA PUERTO LA CRUZ 2011, C.A. (T. PUERTO LA CRUZ)</v>
      </c>
      <c r="L53" s="1"/>
      <c r="M53" s="15">
        <v>12</v>
      </c>
      <c r="N53" s="15"/>
      <c r="O53" s="6"/>
    </row>
    <row r="54" spans="5:15" hidden="1" x14ac:dyDescent="0.3">
      <c r="E54" s="2"/>
      <c r="F54" s="2"/>
      <c r="G54" s="2"/>
      <c r="K54" s="1" t="str">
        <f>IF(MAESTRO!A13="","",MAESTRO!A13)</f>
        <v>OPERADORA PUERTO ORDAZ 2013, C.A.(T. PUERTO ORDAZ)</v>
      </c>
      <c r="L54" s="1"/>
      <c r="M54" s="15">
        <v>13</v>
      </c>
      <c r="N54" s="15"/>
      <c r="O54" s="6"/>
    </row>
    <row r="55" spans="5:15" hidden="1" x14ac:dyDescent="0.3">
      <c r="E55" s="2"/>
      <c r="F55" s="2"/>
      <c r="G55" s="2"/>
      <c r="K55" s="1" t="str">
        <f>IF(MAESTRO!A14="","",MAESTRO!A14)</f>
        <v>OPERADORA LAS AMERICAS, C.A</v>
      </c>
      <c r="L55" s="1"/>
      <c r="M55" s="15">
        <v>14</v>
      </c>
      <c r="N55" s="15"/>
      <c r="O55" s="6"/>
    </row>
    <row r="56" spans="5:15" hidden="1" x14ac:dyDescent="0.3">
      <c r="E56" s="2"/>
      <c r="F56" s="2"/>
      <c r="G56" s="2"/>
      <c r="K56" s="1" t="str">
        <f>IF(MAESTRO!A15="","",MAESTRO!A15)</f>
        <v>OPERADORA PLAZA DEL SOL 2015, C.A</v>
      </c>
      <c r="M56" s="15">
        <v>15</v>
      </c>
      <c r="O56" s="6"/>
    </row>
    <row r="57" spans="5:15" hidden="1" x14ac:dyDescent="0.3">
      <c r="E57" s="2"/>
      <c r="F57" s="2"/>
      <c r="G57" s="2"/>
      <c r="K57" s="1" t="str">
        <f>IF(MAESTRO!A16="","",MAESTRO!A16)</f>
        <v>RELIVE, C.A. (T. CHUPARÍN)</v>
      </c>
    </row>
    <row r="58" spans="5:15" hidden="1" x14ac:dyDescent="0.3">
      <c r="K58" s="1" t="str">
        <f>IF(MAESTRO!A17="","",MAESTRO!A17)</f>
        <v>RELIVE, C.A. (T. TERRAZAS)</v>
      </c>
    </row>
    <row r="59" spans="5:15" hidden="1" x14ac:dyDescent="0.3">
      <c r="K59" s="1" t="str">
        <f>IF(MAESTRO!A18="","",MAESTRO!A18)</f>
        <v>RELIVE, C.A. (T. TIGRE II)</v>
      </c>
    </row>
    <row r="60" spans="5:15" hidden="1" x14ac:dyDescent="0.3">
      <c r="K60" s="1" t="str">
        <f>IF(MAESTRO!A19="","",MAESTRO!A19)</f>
        <v>RELIVE, C.A. (T. TIGRE III)</v>
      </c>
    </row>
    <row r="61" spans="5:15" hidden="1" x14ac:dyDescent="0.3">
      <c r="K61" s="1"/>
    </row>
    <row r="62" spans="5:15" hidden="1" x14ac:dyDescent="0.3">
      <c r="K62" s="1" t="str">
        <f>IF(MAESTRO!A21="","",MAESTRO!A21)</f>
        <v/>
      </c>
    </row>
    <row r="63" spans="5:15" hidden="1" x14ac:dyDescent="0.3"/>
    <row r="64" spans="5:15" hidden="1" x14ac:dyDescent="0.3"/>
    <row r="65" hidden="1" x14ac:dyDescent="0.3"/>
  </sheetData>
  <sheetProtection selectLockedCells="1"/>
  <mergeCells count="49">
    <mergeCell ref="A33:B33"/>
    <mergeCell ref="C33:D33"/>
    <mergeCell ref="A34:B34"/>
    <mergeCell ref="C34:D34"/>
    <mergeCell ref="A36:K37"/>
    <mergeCell ref="B29:C29"/>
    <mergeCell ref="H29:K29"/>
    <mergeCell ref="B30:C30"/>
    <mergeCell ref="H30:K30"/>
    <mergeCell ref="A31:F31"/>
    <mergeCell ref="G31:K31"/>
    <mergeCell ref="B28:C28"/>
    <mergeCell ref="H28:K28"/>
    <mergeCell ref="B26:C26"/>
    <mergeCell ref="H26:K26"/>
    <mergeCell ref="B25:C25"/>
    <mergeCell ref="H25:K25"/>
    <mergeCell ref="B27:C27"/>
    <mergeCell ref="H27:K27"/>
    <mergeCell ref="B14:C14"/>
    <mergeCell ref="H14:K14"/>
    <mergeCell ref="G15:G23"/>
    <mergeCell ref="H23:K23"/>
    <mergeCell ref="B24:C24"/>
    <mergeCell ref="H24:K24"/>
    <mergeCell ref="A15:A23"/>
    <mergeCell ref="B15:C23"/>
    <mergeCell ref="D15:D23"/>
    <mergeCell ref="E15:E23"/>
    <mergeCell ref="F15:F23"/>
    <mergeCell ref="B11:C11"/>
    <mergeCell ref="H11:K11"/>
    <mergeCell ref="B12:C12"/>
    <mergeCell ref="H12:K12"/>
    <mergeCell ref="B13:C13"/>
    <mergeCell ref="H13:K13"/>
    <mergeCell ref="B10:C10"/>
    <mergeCell ref="H10:K10"/>
    <mergeCell ref="A1:B3"/>
    <mergeCell ref="C5:G5"/>
    <mergeCell ref="I5:J5"/>
    <mergeCell ref="A7:K7"/>
    <mergeCell ref="B8:C8"/>
    <mergeCell ref="H8:K8"/>
    <mergeCell ref="B9:C9"/>
    <mergeCell ref="H9:K9"/>
    <mergeCell ref="C1:H3"/>
    <mergeCell ref="J1:K1"/>
    <mergeCell ref="J3:K3"/>
  </mergeCells>
  <dataValidations count="5">
    <dataValidation type="list" allowBlank="1" showInputMessage="1" showErrorMessage="1" sqref="C5:G5" xr:uid="{00000000-0002-0000-0F00-000000000000}">
      <formula1>$L$1:$L$20</formula1>
    </dataValidation>
    <dataValidation type="list" allowBlank="1" showInputMessage="1" showErrorMessage="1" sqref="D15 E9:F15 E24:F26 E28:F30" xr:uid="{00000000-0002-0000-0F00-000001000000}">
      <formula1>$M$42:$M$56</formula1>
    </dataValidation>
    <dataValidation type="list" allowBlank="1" showInputMessage="1" showErrorMessage="1" sqref="D9" xr:uid="{00000000-0002-0000-0F00-000002000000}">
      <formula1>$M$34:$M$49</formula1>
    </dataValidation>
    <dataValidation type="list" allowBlank="1" showInputMessage="1" showErrorMessage="1" sqref="D10:D14 D24:D26 D28:D30" xr:uid="{00000000-0002-0000-0F00-000003000000}">
      <formula1>$M$34:$M$50</formula1>
    </dataValidation>
    <dataValidation type="list" allowBlank="1" showInputMessage="1" showErrorMessage="1" sqref="D27:F27" xr:uid="{00000000-0002-0000-0F00-000004000000}">
      <formula1>$M$33:$M$49</formula1>
    </dataValidation>
  </dataValidations>
  <pageMargins left="0.7" right="0.7" top="0.75" bottom="0.75" header="0.3" footer="0.3"/>
  <pageSetup scale="5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7.88671875" style="2" customWidth="1" collapsed="1"/>
    <col min="3" max="3" width="23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customWidth="1" collapsed="1"/>
    <col min="17" max="17" width="0" style="2" hidden="1" customWidth="1" collapsed="1"/>
    <col min="18" max="16384" width="11.44140625" style="2" collapsed="1"/>
  </cols>
  <sheetData>
    <row r="1" spans="1:17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7" t="s">
        <v>47</v>
      </c>
      <c r="K1" s="198"/>
      <c r="L1" s="78" t="s">
        <v>109</v>
      </c>
    </row>
    <row r="2" spans="1:17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7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7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7" ht="15.75" customHeight="1" x14ac:dyDescent="0.3">
      <c r="A5" s="3"/>
      <c r="B5" s="13" t="s">
        <v>30</v>
      </c>
      <c r="C5" s="136" t="s">
        <v>126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7" ht="15.75" customHeight="1" x14ac:dyDescent="0.3">
      <c r="A6" s="18"/>
      <c r="E6" s="19"/>
      <c r="F6" s="19"/>
      <c r="G6" s="11"/>
      <c r="L6" s="78" t="s">
        <v>114</v>
      </c>
    </row>
    <row r="7" spans="1:17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7" ht="28.8" x14ac:dyDescent="0.3">
      <c r="A8" s="84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7" ht="18" customHeight="1" x14ac:dyDescent="0.3">
      <c r="A9" s="29">
        <v>1</v>
      </c>
      <c r="B9" s="153" t="s">
        <v>27</v>
      </c>
      <c r="C9" s="154"/>
      <c r="D9" s="28">
        <v>2</v>
      </c>
      <c r="E9" s="7">
        <v>2</v>
      </c>
      <c r="F9" s="7">
        <v>2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Q9" s="2" t="s">
        <v>2</v>
      </c>
    </row>
    <row r="10" spans="1:17" ht="18" customHeight="1" x14ac:dyDescent="0.3">
      <c r="A10" s="29">
        <v>2</v>
      </c>
      <c r="B10" s="153" t="s">
        <v>26</v>
      </c>
      <c r="C10" s="154"/>
      <c r="D10" s="28">
        <v>2</v>
      </c>
      <c r="E10" s="7">
        <v>2</v>
      </c>
      <c r="F10" s="7">
        <v>2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Q10" s="2" t="s">
        <v>46</v>
      </c>
    </row>
    <row r="11" spans="1:17" ht="18" customHeight="1" x14ac:dyDescent="0.3">
      <c r="A11" s="29">
        <v>3</v>
      </c>
      <c r="B11" s="153" t="s">
        <v>29</v>
      </c>
      <c r="C11" s="154"/>
      <c r="D11" s="28">
        <v>2</v>
      </c>
      <c r="E11" s="7">
        <v>2</v>
      </c>
      <c r="F11" s="7">
        <v>2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Q11" s="2" t="s">
        <v>92</v>
      </c>
    </row>
    <row r="12" spans="1:17" ht="18" customHeight="1" x14ac:dyDescent="0.3">
      <c r="A12" s="29">
        <v>4</v>
      </c>
      <c r="B12" s="153" t="s">
        <v>28</v>
      </c>
      <c r="C12" s="154"/>
      <c r="D12" s="28">
        <v>2</v>
      </c>
      <c r="E12" s="7">
        <v>2</v>
      </c>
      <c r="F12" s="7">
        <v>2</v>
      </c>
      <c r="G12" s="22">
        <f t="shared" si="0"/>
        <v>1</v>
      </c>
      <c r="H12" s="130"/>
      <c r="I12" s="130"/>
      <c r="J12" s="130"/>
      <c r="K12" s="130"/>
      <c r="L12" s="78" t="s">
        <v>120</v>
      </c>
      <c r="Q12" s="2" t="s">
        <v>12</v>
      </c>
    </row>
    <row r="13" spans="1:17" ht="18" customHeight="1" x14ac:dyDescent="0.3">
      <c r="A13" s="29">
        <v>5</v>
      </c>
      <c r="B13" s="153" t="s">
        <v>20</v>
      </c>
      <c r="C13" s="154"/>
      <c r="D13" s="28">
        <v>2</v>
      </c>
      <c r="E13" s="7">
        <v>2</v>
      </c>
      <c r="F13" s="7">
        <v>2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Q13" s="2" t="s">
        <v>45</v>
      </c>
    </row>
    <row r="14" spans="1:17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Q14" s="2" t="s">
        <v>11</v>
      </c>
    </row>
    <row r="15" spans="1:17" ht="18" customHeight="1" x14ac:dyDescent="0.3">
      <c r="A15" s="173">
        <v>7</v>
      </c>
      <c r="B15" s="161" t="s">
        <v>22</v>
      </c>
      <c r="C15" s="162"/>
      <c r="D15" s="167">
        <v>2</v>
      </c>
      <c r="E15" s="170">
        <v>2</v>
      </c>
      <c r="F15" s="170">
        <v>2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65"/>
      <c r="J15" s="51" t="s">
        <v>60</v>
      </c>
      <c r="K15" s="83"/>
      <c r="L15" s="78" t="s">
        <v>123</v>
      </c>
      <c r="Q15" s="2" t="s">
        <v>93</v>
      </c>
    </row>
    <row r="16" spans="1:17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2"/>
      <c r="J16" s="51" t="s">
        <v>60</v>
      </c>
      <c r="K16" s="83"/>
      <c r="L16" s="78" t="s">
        <v>124</v>
      </c>
      <c r="M16" s="2"/>
      <c r="N16" s="2"/>
      <c r="Q16" s="2" t="s">
        <v>94</v>
      </c>
    </row>
    <row r="17" spans="1:17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2"/>
      <c r="J17" s="51" t="s">
        <v>60</v>
      </c>
      <c r="K17" s="83"/>
      <c r="L17" s="78" t="s">
        <v>125</v>
      </c>
      <c r="M17" s="2"/>
      <c r="N17" s="2"/>
      <c r="Q17" s="2" t="s">
        <v>13</v>
      </c>
    </row>
    <row r="18" spans="1:17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73"/>
      <c r="J18" s="51" t="s">
        <v>60</v>
      </c>
      <c r="K18" s="83"/>
      <c r="L18" s="78" t="s">
        <v>126</v>
      </c>
      <c r="M18" s="2"/>
      <c r="N18" s="2"/>
      <c r="Q18" s="2" t="s">
        <v>6</v>
      </c>
    </row>
    <row r="19" spans="1:17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74"/>
      <c r="J19" s="51" t="s">
        <v>60</v>
      </c>
      <c r="K19" s="83"/>
      <c r="L19" s="78" t="s">
        <v>127</v>
      </c>
      <c r="M19" s="2"/>
      <c r="N19" s="2"/>
      <c r="Q19" s="2" t="s">
        <v>76</v>
      </c>
    </row>
    <row r="20" spans="1:17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62"/>
      <c r="J20" s="51" t="s">
        <v>60</v>
      </c>
      <c r="K20" s="83"/>
      <c r="L20" s="78" t="s">
        <v>128</v>
      </c>
      <c r="M20" s="2"/>
      <c r="N20" s="2"/>
      <c r="Q20" s="2" t="s">
        <v>7</v>
      </c>
    </row>
    <row r="21" spans="1:17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62"/>
      <c r="J21" s="51" t="s">
        <v>60</v>
      </c>
      <c r="K21" s="83"/>
      <c r="L21" s="4"/>
      <c r="M21" s="2"/>
      <c r="N21" s="2"/>
      <c r="Q21" s="2" t="s">
        <v>95</v>
      </c>
    </row>
    <row r="22" spans="1:17" ht="18.75" customHeight="1" x14ac:dyDescent="0.3">
      <c r="A22" s="175"/>
      <c r="B22" s="165"/>
      <c r="C22" s="166"/>
      <c r="D22" s="169"/>
      <c r="E22" s="172"/>
      <c r="F22" s="172"/>
      <c r="G22" s="157"/>
      <c r="H22" s="158"/>
      <c r="I22" s="159"/>
      <c r="J22" s="159"/>
      <c r="K22" s="160"/>
      <c r="L22" s="4"/>
      <c r="M22" s="2"/>
      <c r="N22" s="2"/>
      <c r="Q22" s="2" t="s">
        <v>96</v>
      </c>
    </row>
    <row r="23" spans="1:17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Q23" s="2" t="s">
        <v>97</v>
      </c>
    </row>
    <row r="24" spans="1:17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Q24" s="2" t="s">
        <v>98</v>
      </c>
    </row>
    <row r="25" spans="1:17" ht="18" customHeight="1" x14ac:dyDescent="0.3">
      <c r="A25" s="29">
        <v>10</v>
      </c>
      <c r="B25" s="153" t="s">
        <v>8</v>
      </c>
      <c r="C25" s="154"/>
      <c r="D25" s="28">
        <v>2</v>
      </c>
      <c r="E25" s="7">
        <v>2</v>
      </c>
      <c r="F25" s="7">
        <v>2</v>
      </c>
      <c r="G25" s="22">
        <f t="shared" si="0"/>
        <v>1</v>
      </c>
      <c r="H25" s="130"/>
      <c r="I25" s="130"/>
      <c r="J25" s="130"/>
      <c r="K25" s="130"/>
      <c r="M25" s="2"/>
      <c r="N25" s="2"/>
      <c r="Q25" s="2" t="s">
        <v>99</v>
      </c>
    </row>
    <row r="26" spans="1:17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Q26" s="2" t="s">
        <v>100</v>
      </c>
    </row>
    <row r="27" spans="1:17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Q27" s="2" t="s">
        <v>101</v>
      </c>
    </row>
    <row r="28" spans="1:17" ht="18" customHeight="1" x14ac:dyDescent="0.3">
      <c r="A28" s="29">
        <v>13</v>
      </c>
      <c r="B28" s="184" t="s">
        <v>54</v>
      </c>
      <c r="C28" s="185"/>
      <c r="D28" s="86">
        <v>0</v>
      </c>
      <c r="E28" s="7">
        <v>1</v>
      </c>
      <c r="F28" s="7">
        <v>1</v>
      </c>
      <c r="G28" s="85" t="str">
        <f t="shared" si="0"/>
        <v>-</v>
      </c>
      <c r="H28" s="186"/>
      <c r="I28" s="186"/>
      <c r="J28" s="186"/>
      <c r="K28" s="186"/>
    </row>
    <row r="29" spans="1:17" ht="18" customHeight="1" thickBot="1" x14ac:dyDescent="0.35">
      <c r="A29" s="29">
        <v>14</v>
      </c>
      <c r="B29" s="192" t="s">
        <v>68</v>
      </c>
      <c r="C29" s="193"/>
      <c r="D29" s="28">
        <v>2</v>
      </c>
      <c r="E29" s="7">
        <v>2</v>
      </c>
      <c r="F29" s="7">
        <v>2</v>
      </c>
      <c r="G29" s="22">
        <f t="shared" si="0"/>
        <v>1</v>
      </c>
      <c r="H29" s="130"/>
      <c r="I29" s="130"/>
      <c r="J29" s="130"/>
      <c r="K29" s="130"/>
    </row>
    <row r="30" spans="1:17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1</v>
      </c>
      <c r="H30" s="190"/>
      <c r="I30" s="190"/>
      <c r="J30" s="190"/>
      <c r="K30" s="191"/>
    </row>
    <row r="31" spans="1:17" ht="17.25" customHeight="1" x14ac:dyDescent="0.3">
      <c r="A31" s="34"/>
      <c r="E31" s="17"/>
      <c r="F31" s="35"/>
      <c r="G31" s="36"/>
      <c r="H31" s="25"/>
      <c r="I31" s="37"/>
      <c r="J31" s="23"/>
    </row>
    <row r="32" spans="1:17" ht="28.5" customHeight="1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x14ac:dyDescent="0.3">
      <c r="M37" s="2"/>
      <c r="N37" s="2"/>
    </row>
    <row r="38" spans="1:16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78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78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78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78" t="str">
        <f>IF(MAESTRO!A4="","",MAESTRO!A4)</f>
        <v>LA CASA DE LA CAÑA, C.A. (T. CUMANÁ)</v>
      </c>
      <c r="L44" s="78"/>
      <c r="M44" s="16">
        <v>4</v>
      </c>
      <c r="N44" s="15"/>
      <c r="O44" s="6" t="s">
        <v>37</v>
      </c>
    </row>
    <row r="45" spans="1:16" hidden="1" x14ac:dyDescent="0.3">
      <c r="K45" s="78" t="str">
        <f>IF(MAESTRO!A5="","",MAESTRO!A5)</f>
        <v>LA CASA DE LA CAÑA, C.A. (T. MATURÍN I)</v>
      </c>
      <c r="L45" s="78"/>
      <c r="M45" s="15">
        <v>5</v>
      </c>
      <c r="N45" s="15"/>
      <c r="O45" s="6" t="s">
        <v>38</v>
      </c>
    </row>
    <row r="46" spans="1:16" hidden="1" x14ac:dyDescent="0.3">
      <c r="K46" s="78" t="str">
        <f>IF(MAESTRO!A6="","",MAESTRO!A6)</f>
        <v>LA CASA DE LA CAÑA, C.A. (T. MATURÍN II)</v>
      </c>
      <c r="L46" s="78"/>
      <c r="M46" s="15">
        <v>6</v>
      </c>
      <c r="N46" s="15"/>
      <c r="O46" s="6" t="s">
        <v>39</v>
      </c>
    </row>
    <row r="47" spans="1:16" hidden="1" x14ac:dyDescent="0.3">
      <c r="K47" s="78" t="str">
        <f>IF(MAESTRO!A7="","",MAESTRO!A7)</f>
        <v>LA CASA DE LA CAÑA, C.A. (T. NVA. BARCELONA)</v>
      </c>
      <c r="L47" s="78"/>
      <c r="M47" s="15">
        <v>7</v>
      </c>
      <c r="N47" s="15"/>
      <c r="O47" s="6" t="s">
        <v>40</v>
      </c>
    </row>
    <row r="48" spans="1:16" hidden="1" x14ac:dyDescent="0.3">
      <c r="K48" s="78" t="str">
        <f>IF(MAESTRO!A8="","",MAESTRO!A8)</f>
        <v>INVERSIONES CAÑANDONGA,C.A (T. CONEJERO)</v>
      </c>
      <c r="L48" s="78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78" t="str">
        <f>IF(MAESTRO!A9="","",MAESTRO!A9)</f>
        <v>OPERADORA EL MERCADO 2011, C.A. (T. MERCADO)</v>
      </c>
      <c r="L49" s="78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78" t="str">
        <f>IF(MAESTRO!A10="","",MAESTRO!A10)</f>
        <v>OPERADORA EL PUENTE 2011, C.A. (T. PUENTE REAL)</v>
      </c>
      <c r="L50" s="78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78" t="str">
        <f>IF(MAESTRO!A11="","",MAESTRO!A11)</f>
        <v>OPERADORA LECHERÍA 2011, C.A. (T. LECHERÍA)</v>
      </c>
      <c r="L51" s="78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78" t="str">
        <f>IF(MAESTRO!A12="","",MAESTRO!A12)</f>
        <v>OPERADORA PUERTO LA CRUZ 2011, C.A. (T. PUERTO LA CRUZ)</v>
      </c>
      <c r="L52" s="78"/>
      <c r="M52" s="15">
        <v>12</v>
      </c>
      <c r="N52" s="15"/>
      <c r="O52" s="6"/>
    </row>
    <row r="53" spans="5:15" hidden="1" x14ac:dyDescent="0.3">
      <c r="E53" s="2"/>
      <c r="F53" s="2"/>
      <c r="G53" s="2"/>
      <c r="K53" s="78" t="str">
        <f>IF(MAESTRO!A13="","",MAESTRO!A13)</f>
        <v>OPERADORA PUERTO ORDAZ 2013, C.A.(T. PUERTO ORDAZ)</v>
      </c>
      <c r="L53" s="78"/>
      <c r="M53" s="15">
        <v>13</v>
      </c>
      <c r="N53" s="15"/>
      <c r="O53" s="6"/>
    </row>
    <row r="54" spans="5:15" hidden="1" x14ac:dyDescent="0.3">
      <c r="E54" s="2"/>
      <c r="F54" s="2"/>
      <c r="G54" s="2"/>
      <c r="K54" s="78" t="str">
        <f>IF(MAESTRO!A14="","",MAESTRO!A14)</f>
        <v>OPERADORA LAS AMERICAS, C.A</v>
      </c>
      <c r="L54" s="78"/>
      <c r="M54" s="15">
        <v>14</v>
      </c>
      <c r="N54" s="15"/>
      <c r="O54" s="6"/>
    </row>
    <row r="55" spans="5:15" hidden="1" x14ac:dyDescent="0.3">
      <c r="E55" s="2"/>
      <c r="F55" s="2"/>
      <c r="G55" s="2"/>
      <c r="K55" s="78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78" t="str">
        <f>IF(MAESTRO!A16="","",MAESTRO!A16)</f>
        <v>RELIVE, C.A. (T. CHUPARÍN)</v>
      </c>
    </row>
    <row r="57" spans="5:15" hidden="1" x14ac:dyDescent="0.3">
      <c r="K57" s="78" t="str">
        <f>IF(MAESTRO!A17="","",MAESTRO!A17)</f>
        <v>RELIVE, C.A. (T. TERRAZAS)</v>
      </c>
    </row>
    <row r="58" spans="5:15" hidden="1" x14ac:dyDescent="0.3">
      <c r="K58" s="78" t="str">
        <f>IF(MAESTRO!A18="","",MAESTRO!A18)</f>
        <v>RELIVE, C.A. (T. TIGRE II)</v>
      </c>
    </row>
    <row r="59" spans="5:15" hidden="1" x14ac:dyDescent="0.3">
      <c r="K59" s="78" t="str">
        <f>IF(MAESTRO!A19="","",MAESTRO!A19)</f>
        <v>RELIVE, C.A. (T. TIGRE III)</v>
      </c>
    </row>
    <row r="60" spans="5:15" x14ac:dyDescent="0.3">
      <c r="K60" s="78" t="str">
        <f>IF(MAESTRO!A20="","",MAESTRO!A20)</f>
        <v/>
      </c>
    </row>
    <row r="61" spans="5:15" x14ac:dyDescent="0.3">
      <c r="K61" s="78" t="str">
        <f>IF(MAESTRO!A21="","",MAESTRO!A21)</f>
        <v/>
      </c>
    </row>
  </sheetData>
  <sheetProtection selectLockedCells="1"/>
  <dataConsolidate/>
  <mergeCells count="49">
    <mergeCell ref="B10:C10"/>
    <mergeCell ref="H10:K10"/>
    <mergeCell ref="A1:B3"/>
    <mergeCell ref="C1:H3"/>
    <mergeCell ref="J1:K1"/>
    <mergeCell ref="J3:K3"/>
    <mergeCell ref="C5:G5"/>
    <mergeCell ref="I5:J5"/>
    <mergeCell ref="A7:K7"/>
    <mergeCell ref="B8:C8"/>
    <mergeCell ref="H8:K8"/>
    <mergeCell ref="B9:C9"/>
    <mergeCell ref="H9:K9"/>
    <mergeCell ref="B11:C11"/>
    <mergeCell ref="H11:K11"/>
    <mergeCell ref="B12:C12"/>
    <mergeCell ref="H12:K12"/>
    <mergeCell ref="B13:C13"/>
    <mergeCell ref="H13:K13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23:C23"/>
    <mergeCell ref="H23:K23"/>
    <mergeCell ref="B24:C24"/>
    <mergeCell ref="H24:K24"/>
    <mergeCell ref="B25:C25"/>
    <mergeCell ref="H25:K25"/>
    <mergeCell ref="B26:C26"/>
    <mergeCell ref="H26:K26"/>
    <mergeCell ref="B27:C27"/>
    <mergeCell ref="H27:K27"/>
    <mergeCell ref="B28:C28"/>
    <mergeCell ref="H28:K28"/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</mergeCells>
  <dataValidations count="4">
    <dataValidation type="list" allowBlank="1" showInputMessage="1" showErrorMessage="1" sqref="D10:D14 D23:D25 D27:D29 D26:F26" xr:uid="{00000000-0002-0000-1100-000000000000}">
      <formula1>$M$33:$M$49</formula1>
    </dataValidation>
    <dataValidation type="list" allowBlank="1" showInputMessage="1" showErrorMessage="1" sqref="D9" xr:uid="{00000000-0002-0000-1100-000001000000}">
      <formula1>$M$33:$M$48</formula1>
    </dataValidation>
    <dataValidation type="list" allowBlank="1" showInputMessage="1" showErrorMessage="1" sqref="D15 E9:F15 E23:F25 E27:F29" xr:uid="{00000000-0002-0000-1100-000002000000}">
      <formula1>$M$41:$M$55</formula1>
    </dataValidation>
    <dataValidation type="list" allowBlank="1" showInputMessage="1" showErrorMessage="1" sqref="C5:G5" xr:uid="{00000000-0002-0000-11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6" orientation="portrait" r:id="rId1"/>
  <headerFooter>
    <oddFooter>&amp;RPág. &amp;P -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1"/>
  <sheetViews>
    <sheetView view="pageBreakPreview" zoomScale="90" zoomScaleNormal="100" zoomScaleSheetLayoutView="90" workbookViewId="0">
      <selection activeCell="I5" sqref="I5:J5"/>
    </sheetView>
  </sheetViews>
  <sheetFormatPr baseColWidth="10" defaultColWidth="11.44140625" defaultRowHeight="14.4" x14ac:dyDescent="0.3"/>
  <cols>
    <col min="1" max="1" width="4.109375" style="2" customWidth="1" collapsed="1"/>
    <col min="2" max="2" width="15.109375" style="2" customWidth="1" collapsed="1"/>
    <col min="3" max="3" width="23.5546875" style="2" customWidth="1" collapsed="1"/>
    <col min="4" max="4" width="12" style="2" customWidth="1" collapsed="1"/>
    <col min="5" max="5" width="12.33203125" style="6" customWidth="1" collapsed="1"/>
    <col min="6" max="6" width="13.5546875" style="6" customWidth="1" collapsed="1"/>
    <col min="7" max="7" width="12" style="6" customWidth="1" collapsed="1"/>
    <col min="8" max="8" width="9.5546875" style="2" customWidth="1" collapsed="1"/>
    <col min="9" max="9" width="13" style="2" customWidth="1" collapsed="1"/>
    <col min="10" max="10" width="16.6640625" style="2" customWidth="1" collapsed="1"/>
    <col min="11" max="11" width="13.33203125" style="2" customWidth="1" collapsed="1"/>
    <col min="12" max="12" width="14.44140625" style="2" hidden="1" customWidth="1" collapsed="1"/>
    <col min="13" max="14" width="11.44140625" style="6" customWidth="1" collapsed="1"/>
    <col min="15" max="16" width="11.44140625" style="2" customWidth="1" collapsed="1"/>
    <col min="17" max="17" width="11.44140625" style="2" collapsed="1"/>
    <col min="18" max="18" width="0" style="2" hidden="1" customWidth="1" collapsed="1"/>
    <col min="19" max="16384" width="11.44140625" style="2" collapsed="1"/>
  </cols>
  <sheetData>
    <row r="1" spans="1:18" ht="15" customHeight="1" x14ac:dyDescent="0.3">
      <c r="A1" s="135"/>
      <c r="B1" s="135"/>
      <c r="C1" s="142" t="s">
        <v>14</v>
      </c>
      <c r="D1" s="143"/>
      <c r="E1" s="143"/>
      <c r="F1" s="143"/>
      <c r="G1" s="143"/>
      <c r="H1" s="144"/>
      <c r="I1" s="30" t="s">
        <v>23</v>
      </c>
      <c r="J1" s="197" t="s">
        <v>47</v>
      </c>
      <c r="K1" s="198"/>
      <c r="L1" s="78" t="s">
        <v>109</v>
      </c>
    </row>
    <row r="2" spans="1:18" ht="20.25" customHeight="1" x14ac:dyDescent="0.3">
      <c r="A2" s="135"/>
      <c r="B2" s="135"/>
      <c r="C2" s="145"/>
      <c r="D2" s="146"/>
      <c r="E2" s="146"/>
      <c r="F2" s="146"/>
      <c r="G2" s="146"/>
      <c r="H2" s="147"/>
      <c r="I2" s="30" t="s">
        <v>24</v>
      </c>
      <c r="J2" s="31" t="s">
        <v>81</v>
      </c>
      <c r="K2" s="56">
        <v>42720</v>
      </c>
      <c r="L2" s="78" t="s">
        <v>110</v>
      </c>
    </row>
    <row r="3" spans="1:18" x14ac:dyDescent="0.3">
      <c r="A3" s="135"/>
      <c r="B3" s="135"/>
      <c r="C3" s="148"/>
      <c r="D3" s="149"/>
      <c r="E3" s="149"/>
      <c r="F3" s="149"/>
      <c r="G3" s="149"/>
      <c r="H3" s="150"/>
      <c r="I3" s="30" t="s">
        <v>25</v>
      </c>
      <c r="J3" s="140">
        <v>42286</v>
      </c>
      <c r="K3" s="141"/>
      <c r="L3" s="78" t="s">
        <v>111</v>
      </c>
    </row>
    <row r="4" spans="1:18" ht="23.25" customHeight="1" x14ac:dyDescent="0.3">
      <c r="A4" s="3"/>
      <c r="B4" s="12"/>
      <c r="C4" s="12"/>
      <c r="D4" s="12"/>
      <c r="E4" s="12"/>
      <c r="F4" s="12"/>
      <c r="G4" s="32"/>
      <c r="H4" s="33"/>
      <c r="I4" s="33"/>
      <c r="L4" s="78" t="s">
        <v>112</v>
      </c>
    </row>
    <row r="5" spans="1:18" ht="15.75" customHeight="1" x14ac:dyDescent="0.3">
      <c r="A5" s="3"/>
      <c r="B5" s="13" t="s">
        <v>30</v>
      </c>
      <c r="C5" s="136" t="s">
        <v>128</v>
      </c>
      <c r="D5" s="136"/>
      <c r="E5" s="136"/>
      <c r="F5" s="136"/>
      <c r="G5" s="136"/>
      <c r="H5" s="13" t="s">
        <v>0</v>
      </c>
      <c r="I5" s="137">
        <v>46157</v>
      </c>
      <c r="J5" s="137"/>
      <c r="L5" s="78" t="s">
        <v>113</v>
      </c>
    </row>
    <row r="6" spans="1:18" ht="15.75" customHeight="1" x14ac:dyDescent="0.3">
      <c r="A6" s="18"/>
      <c r="E6" s="19"/>
      <c r="F6" s="19"/>
      <c r="G6" s="11"/>
      <c r="L6" s="78" t="s">
        <v>114</v>
      </c>
    </row>
    <row r="7" spans="1:18" ht="15.6" x14ac:dyDescent="0.3">
      <c r="A7" s="133" t="s">
        <v>9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78" t="s">
        <v>115</v>
      </c>
    </row>
    <row r="8" spans="1:18" ht="28.8" x14ac:dyDescent="0.3">
      <c r="A8" s="103" t="s">
        <v>1</v>
      </c>
      <c r="B8" s="151" t="s">
        <v>9</v>
      </c>
      <c r="C8" s="152"/>
      <c r="D8" s="20" t="s">
        <v>50</v>
      </c>
      <c r="E8" s="9" t="s">
        <v>48</v>
      </c>
      <c r="F8" s="9" t="s">
        <v>49</v>
      </c>
      <c r="G8" s="14" t="s">
        <v>21</v>
      </c>
      <c r="H8" s="134" t="s">
        <v>31</v>
      </c>
      <c r="I8" s="134"/>
      <c r="J8" s="134"/>
      <c r="K8" s="134"/>
      <c r="L8" s="78" t="s">
        <v>116</v>
      </c>
      <c r="M8" s="2"/>
      <c r="N8" s="2"/>
    </row>
    <row r="9" spans="1:18" ht="18" customHeight="1" x14ac:dyDescent="0.3">
      <c r="A9" s="29">
        <v>1</v>
      </c>
      <c r="B9" s="153" t="s">
        <v>27</v>
      </c>
      <c r="C9" s="154"/>
      <c r="D9" s="28">
        <v>4</v>
      </c>
      <c r="E9" s="7">
        <v>4</v>
      </c>
      <c r="F9" s="7">
        <v>4</v>
      </c>
      <c r="G9" s="22">
        <f>IF(D9="","",IF(D9=0,"-",IF(F9&gt;D9,"ERROR",IF(E9&gt;D9,"ERROR",IF(E9&lt;D9,0,IF(E9&gt;F9,0,IF(F9=D9,1,0)))))))</f>
        <v>1</v>
      </c>
      <c r="H9" s="130"/>
      <c r="I9" s="130"/>
      <c r="J9" s="130"/>
      <c r="K9" s="130"/>
      <c r="L9" s="78" t="s">
        <v>117</v>
      </c>
      <c r="R9" s="2" t="s">
        <v>2</v>
      </c>
    </row>
    <row r="10" spans="1:18" ht="18" customHeight="1" x14ac:dyDescent="0.3">
      <c r="A10" s="29">
        <v>2</v>
      </c>
      <c r="B10" s="153" t="s">
        <v>26</v>
      </c>
      <c r="C10" s="154"/>
      <c r="D10" s="28">
        <v>4</v>
      </c>
      <c r="E10" s="7">
        <v>4</v>
      </c>
      <c r="F10" s="7">
        <v>4</v>
      </c>
      <c r="G10" s="22">
        <f t="shared" ref="G10:G29" si="0">IF(D10="","",IF(D10=0,"-",IF(F10&gt;D10,"ERROR",IF(E10&gt;D10,"ERROR",IF(E10&lt;D10,0,IF(E10&gt;F10,0,IF(F10=D10,1,0)))))))</f>
        <v>1</v>
      </c>
      <c r="H10" s="130"/>
      <c r="I10" s="130"/>
      <c r="J10" s="130"/>
      <c r="K10" s="130"/>
      <c r="L10" s="78" t="s">
        <v>118</v>
      </c>
      <c r="R10" s="2" t="s">
        <v>46</v>
      </c>
    </row>
    <row r="11" spans="1:18" ht="18" customHeight="1" x14ac:dyDescent="0.3">
      <c r="A11" s="29">
        <v>3</v>
      </c>
      <c r="B11" s="153" t="s">
        <v>29</v>
      </c>
      <c r="C11" s="154"/>
      <c r="D11" s="28">
        <v>4</v>
      </c>
      <c r="E11" s="7">
        <v>4</v>
      </c>
      <c r="F11" s="7">
        <v>4</v>
      </c>
      <c r="G11" s="22">
        <f t="shared" si="0"/>
        <v>1</v>
      </c>
      <c r="H11" s="130"/>
      <c r="I11" s="130"/>
      <c r="J11" s="130"/>
      <c r="K11" s="130"/>
      <c r="L11" s="78" t="s">
        <v>119</v>
      </c>
      <c r="R11" s="2" t="s">
        <v>92</v>
      </c>
    </row>
    <row r="12" spans="1:18" ht="18" customHeight="1" x14ac:dyDescent="0.3">
      <c r="A12" s="29">
        <v>4</v>
      </c>
      <c r="B12" s="153" t="s">
        <v>28</v>
      </c>
      <c r="C12" s="154"/>
      <c r="D12" s="28">
        <v>4</v>
      </c>
      <c r="E12" s="7">
        <v>3</v>
      </c>
      <c r="F12" s="7">
        <v>4</v>
      </c>
      <c r="G12" s="22">
        <f t="shared" si="0"/>
        <v>0</v>
      </c>
      <c r="H12" s="130"/>
      <c r="I12" s="130"/>
      <c r="J12" s="130"/>
      <c r="K12" s="130"/>
      <c r="L12" s="78" t="s">
        <v>120</v>
      </c>
      <c r="R12" s="2" t="s">
        <v>12</v>
      </c>
    </row>
    <row r="13" spans="1:18" ht="18" customHeight="1" x14ac:dyDescent="0.3">
      <c r="A13" s="29">
        <v>5</v>
      </c>
      <c r="B13" s="153" t="s">
        <v>20</v>
      </c>
      <c r="C13" s="154"/>
      <c r="D13" s="28">
        <v>4</v>
      </c>
      <c r="E13" s="7">
        <v>4</v>
      </c>
      <c r="F13" s="7">
        <v>4</v>
      </c>
      <c r="G13" s="22">
        <f t="shared" si="0"/>
        <v>1</v>
      </c>
      <c r="H13" s="130"/>
      <c r="I13" s="130"/>
      <c r="J13" s="130"/>
      <c r="K13" s="130"/>
      <c r="L13" s="78" t="s">
        <v>121</v>
      </c>
      <c r="R13" s="2" t="s">
        <v>45</v>
      </c>
    </row>
    <row r="14" spans="1:18" ht="18" customHeight="1" x14ac:dyDescent="0.3">
      <c r="A14" s="29">
        <v>6</v>
      </c>
      <c r="B14" s="131" t="s">
        <v>53</v>
      </c>
      <c r="C14" s="132"/>
      <c r="D14" s="28">
        <v>1</v>
      </c>
      <c r="E14" s="7">
        <v>1</v>
      </c>
      <c r="F14" s="7">
        <v>1</v>
      </c>
      <c r="G14" s="22">
        <f t="shared" si="0"/>
        <v>1</v>
      </c>
      <c r="H14" s="130"/>
      <c r="I14" s="130"/>
      <c r="J14" s="130"/>
      <c r="K14" s="130"/>
      <c r="L14" s="78" t="s">
        <v>122</v>
      </c>
      <c r="R14" s="2" t="s">
        <v>11</v>
      </c>
    </row>
    <row r="15" spans="1:18" ht="18" customHeight="1" x14ac:dyDescent="0.3">
      <c r="A15" s="173">
        <v>7</v>
      </c>
      <c r="B15" s="161" t="s">
        <v>22</v>
      </c>
      <c r="C15" s="162"/>
      <c r="D15" s="167">
        <v>4</v>
      </c>
      <c r="E15" s="170">
        <v>4</v>
      </c>
      <c r="F15" s="170">
        <v>4</v>
      </c>
      <c r="G15" s="155">
        <f>IF(D15="","",IF(D15=0,"-",IF(F15&gt;D15,"ERROR",IF(E15&gt;D15,"ERROR",IF(E15&lt;D15,0,IF(E15&gt;F15,0,IF(F15=D15,1,0)))))))</f>
        <v>1</v>
      </c>
      <c r="H15" s="51" t="s">
        <v>61</v>
      </c>
      <c r="I15" s="65"/>
      <c r="J15" s="51" t="s">
        <v>60</v>
      </c>
      <c r="K15" s="101"/>
      <c r="L15" s="78" t="s">
        <v>123</v>
      </c>
      <c r="R15" s="2" t="s">
        <v>93</v>
      </c>
    </row>
    <row r="16" spans="1:18" ht="18" customHeight="1" x14ac:dyDescent="0.3">
      <c r="A16" s="174"/>
      <c r="B16" s="163"/>
      <c r="C16" s="164"/>
      <c r="D16" s="168"/>
      <c r="E16" s="171"/>
      <c r="F16" s="171"/>
      <c r="G16" s="156"/>
      <c r="H16" s="51" t="s">
        <v>62</v>
      </c>
      <c r="I16" s="62"/>
      <c r="J16" s="51" t="s">
        <v>60</v>
      </c>
      <c r="K16" s="101"/>
      <c r="L16" s="78" t="s">
        <v>124</v>
      </c>
      <c r="M16" s="2"/>
      <c r="N16" s="2"/>
      <c r="R16" s="2" t="s">
        <v>94</v>
      </c>
    </row>
    <row r="17" spans="1:18" ht="18" customHeight="1" x14ac:dyDescent="0.3">
      <c r="A17" s="174"/>
      <c r="B17" s="163"/>
      <c r="C17" s="164"/>
      <c r="D17" s="168"/>
      <c r="E17" s="171"/>
      <c r="F17" s="171"/>
      <c r="G17" s="156"/>
      <c r="H17" s="51" t="s">
        <v>63</v>
      </c>
      <c r="I17" s="62"/>
      <c r="J17" s="51" t="s">
        <v>60</v>
      </c>
      <c r="K17" s="101"/>
      <c r="L17" s="78" t="s">
        <v>125</v>
      </c>
      <c r="M17" s="2"/>
      <c r="N17" s="2"/>
      <c r="R17" s="2" t="s">
        <v>13</v>
      </c>
    </row>
    <row r="18" spans="1:18" ht="18" customHeight="1" x14ac:dyDescent="0.3">
      <c r="A18" s="174"/>
      <c r="B18" s="163"/>
      <c r="C18" s="164"/>
      <c r="D18" s="168"/>
      <c r="E18" s="171"/>
      <c r="F18" s="171"/>
      <c r="G18" s="156"/>
      <c r="H18" s="51" t="s">
        <v>64</v>
      </c>
      <c r="I18" s="73"/>
      <c r="J18" s="51" t="s">
        <v>60</v>
      </c>
      <c r="K18" s="101"/>
      <c r="L18" s="78" t="s">
        <v>126</v>
      </c>
      <c r="M18" s="2"/>
      <c r="N18" s="2"/>
      <c r="R18" s="2" t="s">
        <v>6</v>
      </c>
    </row>
    <row r="19" spans="1:18" ht="18" customHeight="1" x14ac:dyDescent="0.3">
      <c r="A19" s="174"/>
      <c r="B19" s="163"/>
      <c r="C19" s="164"/>
      <c r="D19" s="168"/>
      <c r="E19" s="171"/>
      <c r="F19" s="171"/>
      <c r="G19" s="156"/>
      <c r="H19" s="51" t="s">
        <v>65</v>
      </c>
      <c r="I19" s="74"/>
      <c r="J19" s="51" t="s">
        <v>60</v>
      </c>
      <c r="K19" s="101"/>
      <c r="L19" s="78" t="s">
        <v>127</v>
      </c>
      <c r="M19" s="2"/>
      <c r="N19" s="2"/>
      <c r="R19" s="2" t="s">
        <v>76</v>
      </c>
    </row>
    <row r="20" spans="1:18" ht="18" customHeight="1" x14ac:dyDescent="0.3">
      <c r="A20" s="174"/>
      <c r="B20" s="163"/>
      <c r="C20" s="164"/>
      <c r="D20" s="168"/>
      <c r="E20" s="171"/>
      <c r="F20" s="171"/>
      <c r="G20" s="156"/>
      <c r="H20" s="51" t="s">
        <v>66</v>
      </c>
      <c r="I20" s="62"/>
      <c r="J20" s="51" t="s">
        <v>60</v>
      </c>
      <c r="K20" s="101"/>
      <c r="L20" s="78" t="s">
        <v>128</v>
      </c>
      <c r="M20" s="2"/>
      <c r="N20" s="2"/>
      <c r="R20" s="2" t="s">
        <v>7</v>
      </c>
    </row>
    <row r="21" spans="1:18" ht="18.75" customHeight="1" x14ac:dyDescent="0.3">
      <c r="A21" s="174"/>
      <c r="B21" s="163"/>
      <c r="C21" s="164"/>
      <c r="D21" s="168"/>
      <c r="E21" s="171"/>
      <c r="F21" s="171"/>
      <c r="G21" s="156"/>
      <c r="H21" s="51" t="s">
        <v>67</v>
      </c>
      <c r="I21" s="62"/>
      <c r="J21" s="51" t="s">
        <v>60</v>
      </c>
      <c r="K21" s="101"/>
      <c r="L21" s="4"/>
      <c r="M21" s="2"/>
      <c r="N21" s="2"/>
      <c r="R21" s="2" t="s">
        <v>95</v>
      </c>
    </row>
    <row r="22" spans="1:18" ht="18.75" customHeight="1" x14ac:dyDescent="0.3">
      <c r="A22" s="175"/>
      <c r="B22" s="165"/>
      <c r="C22" s="166"/>
      <c r="D22" s="169"/>
      <c r="E22" s="172"/>
      <c r="F22" s="172"/>
      <c r="G22" s="157"/>
      <c r="H22" s="158" t="s">
        <v>108</v>
      </c>
      <c r="I22" s="159"/>
      <c r="J22" s="159"/>
      <c r="K22" s="160"/>
      <c r="L22" s="4"/>
      <c r="M22" s="2"/>
      <c r="N22" s="2"/>
      <c r="R22" s="2" t="s">
        <v>96</v>
      </c>
    </row>
    <row r="23" spans="1:18" ht="18" customHeight="1" x14ac:dyDescent="0.3">
      <c r="A23" s="29">
        <v>8</v>
      </c>
      <c r="B23" s="131" t="s">
        <v>19</v>
      </c>
      <c r="C23" s="132"/>
      <c r="D23" s="28">
        <v>1</v>
      </c>
      <c r="E23" s="7">
        <v>1</v>
      </c>
      <c r="F23" s="7">
        <v>1</v>
      </c>
      <c r="G23" s="22">
        <f t="shared" si="0"/>
        <v>1</v>
      </c>
      <c r="H23" s="130"/>
      <c r="I23" s="130"/>
      <c r="J23" s="130"/>
      <c r="K23" s="130"/>
      <c r="M23" s="2"/>
      <c r="N23" s="2"/>
      <c r="R23" s="2" t="s">
        <v>97</v>
      </c>
    </row>
    <row r="24" spans="1:18" ht="18" customHeight="1" x14ac:dyDescent="0.3">
      <c r="A24" s="29">
        <v>9</v>
      </c>
      <c r="B24" s="131" t="s">
        <v>18</v>
      </c>
      <c r="C24" s="132"/>
      <c r="D24" s="28">
        <v>1</v>
      </c>
      <c r="E24" s="7">
        <v>1</v>
      </c>
      <c r="F24" s="7">
        <v>1</v>
      </c>
      <c r="G24" s="22">
        <f t="shared" si="0"/>
        <v>1</v>
      </c>
      <c r="H24" s="130"/>
      <c r="I24" s="130"/>
      <c r="J24" s="130"/>
      <c r="K24" s="130"/>
      <c r="M24" s="2"/>
      <c r="N24" s="2"/>
      <c r="R24" s="2" t="s">
        <v>98</v>
      </c>
    </row>
    <row r="25" spans="1:18" ht="18" customHeight="1" x14ac:dyDescent="0.3">
      <c r="A25" s="29">
        <v>10</v>
      </c>
      <c r="B25" s="153" t="s">
        <v>8</v>
      </c>
      <c r="C25" s="154"/>
      <c r="D25" s="28">
        <v>3</v>
      </c>
      <c r="E25" s="7">
        <v>3</v>
      </c>
      <c r="F25" s="7">
        <v>3</v>
      </c>
      <c r="G25" s="22">
        <f t="shared" si="0"/>
        <v>1</v>
      </c>
      <c r="H25" s="130"/>
      <c r="I25" s="130"/>
      <c r="J25" s="130"/>
      <c r="K25" s="130"/>
      <c r="M25" s="2"/>
      <c r="N25" s="2"/>
      <c r="R25" s="2" t="s">
        <v>99</v>
      </c>
    </row>
    <row r="26" spans="1:18" ht="18" customHeight="1" x14ac:dyDescent="0.3">
      <c r="A26" s="29">
        <v>11</v>
      </c>
      <c r="B26" s="178" t="s">
        <v>103</v>
      </c>
      <c r="C26" s="179"/>
      <c r="D26" s="28">
        <v>0</v>
      </c>
      <c r="E26" s="28">
        <v>1</v>
      </c>
      <c r="F26" s="28">
        <v>1</v>
      </c>
      <c r="G26" s="22" t="str">
        <f t="shared" si="0"/>
        <v>-</v>
      </c>
      <c r="H26" s="113"/>
      <c r="I26" s="114"/>
      <c r="J26" s="114"/>
      <c r="K26" s="115"/>
      <c r="M26" s="2"/>
      <c r="N26" s="2"/>
      <c r="R26" s="2" t="s">
        <v>100</v>
      </c>
    </row>
    <row r="27" spans="1:18" ht="18" customHeight="1" x14ac:dyDescent="0.3">
      <c r="A27" s="29">
        <v>12</v>
      </c>
      <c r="B27" s="176" t="s">
        <v>58</v>
      </c>
      <c r="C27" s="177"/>
      <c r="D27" s="28">
        <v>1</v>
      </c>
      <c r="E27" s="7">
        <v>1</v>
      </c>
      <c r="F27" s="7">
        <v>1</v>
      </c>
      <c r="G27" s="22">
        <f t="shared" si="0"/>
        <v>1</v>
      </c>
      <c r="H27" s="130"/>
      <c r="I27" s="130"/>
      <c r="J27" s="130"/>
      <c r="K27" s="130"/>
      <c r="R27" s="2" t="s">
        <v>101</v>
      </c>
    </row>
    <row r="28" spans="1:18" ht="18" customHeight="1" x14ac:dyDescent="0.3">
      <c r="A28" s="29">
        <v>13</v>
      </c>
      <c r="B28" s="184" t="s">
        <v>54</v>
      </c>
      <c r="C28" s="185"/>
      <c r="D28" s="102">
        <v>0</v>
      </c>
      <c r="E28" s="7">
        <v>1</v>
      </c>
      <c r="F28" s="7">
        <v>1</v>
      </c>
      <c r="G28" s="100" t="str">
        <f t="shared" si="0"/>
        <v>-</v>
      </c>
      <c r="H28" s="186"/>
      <c r="I28" s="186"/>
      <c r="J28" s="186"/>
      <c r="K28" s="186"/>
    </row>
    <row r="29" spans="1:18" ht="18" customHeight="1" thickBot="1" x14ac:dyDescent="0.35">
      <c r="A29" s="29">
        <v>14</v>
      </c>
      <c r="B29" s="192" t="s">
        <v>68</v>
      </c>
      <c r="C29" s="193"/>
      <c r="D29" s="28">
        <v>4</v>
      </c>
      <c r="E29" s="7">
        <v>4</v>
      </c>
      <c r="F29" s="7">
        <v>4</v>
      </c>
      <c r="G29" s="22">
        <f t="shared" si="0"/>
        <v>1</v>
      </c>
      <c r="H29" s="130"/>
      <c r="I29" s="130"/>
      <c r="J29" s="130"/>
      <c r="K29" s="130"/>
    </row>
    <row r="30" spans="1:18" ht="19.5" customHeight="1" thickBot="1" x14ac:dyDescent="0.35">
      <c r="A30" s="187" t="s">
        <v>55</v>
      </c>
      <c r="B30" s="188"/>
      <c r="C30" s="188"/>
      <c r="D30" s="188"/>
      <c r="E30" s="188"/>
      <c r="F30" s="188"/>
      <c r="G30" s="189">
        <f>IFERROR(AVERAGE(G9:G28),"-")</f>
        <v>0.90909090909090906</v>
      </c>
      <c r="H30" s="190"/>
      <c r="I30" s="190"/>
      <c r="J30" s="190"/>
      <c r="K30" s="191"/>
    </row>
    <row r="31" spans="1:18" ht="17.25" customHeight="1" x14ac:dyDescent="0.3">
      <c r="A31" s="34"/>
      <c r="E31" s="17"/>
      <c r="F31" s="35"/>
      <c r="G31" s="36"/>
      <c r="H31" s="25"/>
      <c r="I31" s="37"/>
      <c r="J31" s="23"/>
    </row>
    <row r="32" spans="1:18" ht="28.5" customHeight="1" x14ac:dyDescent="0.3">
      <c r="A32" s="182" t="s">
        <v>57</v>
      </c>
      <c r="B32" s="182"/>
      <c r="C32" s="183"/>
      <c r="D32" s="183"/>
      <c r="E32" s="38"/>
      <c r="F32" s="38"/>
      <c r="G32" s="24"/>
      <c r="H32" s="25"/>
      <c r="I32" s="26"/>
      <c r="J32" s="25"/>
    </row>
    <row r="33" spans="1:16" x14ac:dyDescent="0.3">
      <c r="A33" s="182" t="s">
        <v>59</v>
      </c>
      <c r="B33" s="182"/>
      <c r="C33" s="122"/>
      <c r="D33" s="123"/>
      <c r="E33" s="39"/>
      <c r="F33" s="39"/>
      <c r="G33" s="27"/>
      <c r="H33" s="26"/>
      <c r="I33" s="26"/>
      <c r="J33" s="25"/>
    </row>
    <row r="34" spans="1:16" x14ac:dyDescent="0.3">
      <c r="A34" s="40"/>
      <c r="B34" s="40"/>
      <c r="C34" s="41"/>
      <c r="D34" s="41"/>
      <c r="E34" s="39"/>
      <c r="F34" s="39"/>
      <c r="G34" s="27"/>
      <c r="H34" s="26"/>
      <c r="I34" s="26"/>
      <c r="J34" s="25"/>
    </row>
    <row r="35" spans="1:16" x14ac:dyDescent="0.3">
      <c r="A35" s="181" t="s">
        <v>56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</row>
    <row r="36" spans="1:16" x14ac:dyDescent="0.3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M36" s="2"/>
      <c r="N36" s="2"/>
    </row>
    <row r="37" spans="1:16" hidden="1" x14ac:dyDescent="0.3">
      <c r="M37" s="2"/>
      <c r="N37" s="2"/>
    </row>
    <row r="38" spans="1:16" hidden="1" x14ac:dyDescent="0.3">
      <c r="M38" s="2"/>
      <c r="N38" s="2"/>
    </row>
    <row r="39" spans="1:16" ht="28.8" hidden="1" x14ac:dyDescent="0.3">
      <c r="L39" s="5" t="s">
        <v>15</v>
      </c>
      <c r="M39" s="21" t="s">
        <v>52</v>
      </c>
      <c r="N39" s="21" t="s">
        <v>51</v>
      </c>
      <c r="O39" s="42" t="s">
        <v>32</v>
      </c>
    </row>
    <row r="40" spans="1:16" ht="15.6" hidden="1" x14ac:dyDescent="0.3">
      <c r="K40" s="5" t="s">
        <v>10</v>
      </c>
      <c r="L40" s="8" t="s">
        <v>16</v>
      </c>
      <c r="M40" s="6">
        <v>0</v>
      </c>
      <c r="N40" s="44" t="s">
        <v>16</v>
      </c>
      <c r="O40" s="6" t="s">
        <v>33</v>
      </c>
      <c r="P40" s="10"/>
    </row>
    <row r="41" spans="1:16" hidden="1" x14ac:dyDescent="0.3">
      <c r="K41" s="78" t="str">
        <f>IF(MAESTRO!A1="","",MAESTRO!A1)</f>
        <v>******SUCURSALES</v>
      </c>
      <c r="L41" s="43" t="s">
        <v>17</v>
      </c>
      <c r="M41" s="15">
        <v>1</v>
      </c>
      <c r="N41" s="43" t="s">
        <v>17</v>
      </c>
      <c r="O41" s="6" t="s">
        <v>34</v>
      </c>
    </row>
    <row r="42" spans="1:16" hidden="1" x14ac:dyDescent="0.3">
      <c r="K42" s="78" t="str">
        <f>IF(MAESTRO!A2="","",MAESTRO!A2)</f>
        <v>LA CASA DE LA CAÑA, C.A. (T. ALTERNA)</v>
      </c>
      <c r="M42" s="16">
        <v>2</v>
      </c>
      <c r="N42" s="16"/>
      <c r="O42" s="6" t="s">
        <v>35</v>
      </c>
    </row>
    <row r="43" spans="1:16" hidden="1" x14ac:dyDescent="0.3">
      <c r="K43" s="78" t="str">
        <f>IF(MAESTRO!A3="","",MAESTRO!A3)</f>
        <v>LA CASA DE LA CAÑA, C.A. (T. ANACO)</v>
      </c>
      <c r="M43" s="16">
        <v>3</v>
      </c>
      <c r="N43" s="16"/>
      <c r="O43" s="6" t="s">
        <v>36</v>
      </c>
    </row>
    <row r="44" spans="1:16" hidden="1" x14ac:dyDescent="0.3">
      <c r="K44" s="78" t="str">
        <f>IF(MAESTRO!A4="","",MAESTRO!A4)</f>
        <v>LA CASA DE LA CAÑA, C.A. (T. CUMANÁ)</v>
      </c>
      <c r="L44" s="78"/>
      <c r="M44" s="16">
        <v>4</v>
      </c>
      <c r="N44" s="15"/>
      <c r="O44" s="6" t="s">
        <v>37</v>
      </c>
    </row>
    <row r="45" spans="1:16" hidden="1" x14ac:dyDescent="0.3">
      <c r="K45" s="78" t="str">
        <f>IF(MAESTRO!A5="","",MAESTRO!A5)</f>
        <v>LA CASA DE LA CAÑA, C.A. (T. MATURÍN I)</v>
      </c>
      <c r="L45" s="78"/>
      <c r="M45" s="15">
        <v>5</v>
      </c>
      <c r="N45" s="15"/>
      <c r="O45" s="6" t="s">
        <v>38</v>
      </c>
    </row>
    <row r="46" spans="1:16" hidden="1" x14ac:dyDescent="0.3">
      <c r="K46" s="78" t="str">
        <f>IF(MAESTRO!A6="","",MAESTRO!A6)</f>
        <v>LA CASA DE LA CAÑA, C.A. (T. MATURÍN II)</v>
      </c>
      <c r="L46" s="78"/>
      <c r="M46" s="15">
        <v>6</v>
      </c>
      <c r="N46" s="15"/>
      <c r="O46" s="6" t="s">
        <v>39</v>
      </c>
    </row>
    <row r="47" spans="1:16" hidden="1" x14ac:dyDescent="0.3">
      <c r="K47" s="78" t="str">
        <f>IF(MAESTRO!A7="","",MAESTRO!A7)</f>
        <v>LA CASA DE LA CAÑA, C.A. (T. NVA. BARCELONA)</v>
      </c>
      <c r="L47" s="78"/>
      <c r="M47" s="15">
        <v>7</v>
      </c>
      <c r="N47" s="15"/>
      <c r="O47" s="6" t="s">
        <v>40</v>
      </c>
    </row>
    <row r="48" spans="1:16" hidden="1" x14ac:dyDescent="0.3">
      <c r="K48" s="78" t="str">
        <f>IF(MAESTRO!A8="","",MAESTRO!A8)</f>
        <v>INVERSIONES CAÑANDONGA,C.A (T. CONEJERO)</v>
      </c>
      <c r="L48" s="78"/>
      <c r="M48" s="15">
        <v>8</v>
      </c>
      <c r="N48" s="15"/>
      <c r="O48" s="6" t="s">
        <v>41</v>
      </c>
    </row>
    <row r="49" spans="5:15" hidden="1" x14ac:dyDescent="0.3">
      <c r="E49" s="2"/>
      <c r="F49" s="2"/>
      <c r="G49" s="2"/>
      <c r="K49" s="78" t="str">
        <f>IF(MAESTRO!A9="","",MAESTRO!A9)</f>
        <v>OPERADORA EL MERCADO 2011, C.A. (T. MERCADO)</v>
      </c>
      <c r="L49" s="78"/>
      <c r="M49" s="15">
        <v>9</v>
      </c>
      <c r="N49" s="15"/>
      <c r="O49" s="6" t="s">
        <v>42</v>
      </c>
    </row>
    <row r="50" spans="5:15" hidden="1" x14ac:dyDescent="0.3">
      <c r="E50" s="2"/>
      <c r="F50" s="2"/>
      <c r="G50" s="2"/>
      <c r="K50" s="78" t="str">
        <f>IF(MAESTRO!A10="","",MAESTRO!A10)</f>
        <v>OPERADORA EL PUENTE 2011, C.A. (T. PUENTE REAL)</v>
      </c>
      <c r="L50" s="78"/>
      <c r="M50" s="15">
        <v>10</v>
      </c>
      <c r="N50" s="15"/>
      <c r="O50" s="6" t="s">
        <v>43</v>
      </c>
    </row>
    <row r="51" spans="5:15" hidden="1" x14ac:dyDescent="0.3">
      <c r="E51" s="2"/>
      <c r="F51" s="2"/>
      <c r="G51" s="2"/>
      <c r="K51" s="78" t="str">
        <f>IF(MAESTRO!A11="","",MAESTRO!A11)</f>
        <v>OPERADORA LECHERÍA 2011, C.A. (T. LECHERÍA)</v>
      </c>
      <c r="L51" s="78"/>
      <c r="M51" s="15">
        <v>11</v>
      </c>
      <c r="N51" s="15"/>
      <c r="O51" s="6" t="s">
        <v>44</v>
      </c>
    </row>
    <row r="52" spans="5:15" hidden="1" x14ac:dyDescent="0.3">
      <c r="E52" s="2"/>
      <c r="F52" s="2"/>
      <c r="G52" s="2"/>
      <c r="K52" s="78" t="str">
        <f>IF(MAESTRO!A12="","",MAESTRO!A12)</f>
        <v>OPERADORA PUERTO LA CRUZ 2011, C.A. (T. PUERTO LA CRUZ)</v>
      </c>
      <c r="L52" s="78"/>
      <c r="M52" s="15">
        <v>12</v>
      </c>
      <c r="N52" s="15"/>
      <c r="O52" s="6"/>
    </row>
    <row r="53" spans="5:15" hidden="1" x14ac:dyDescent="0.3">
      <c r="E53" s="2"/>
      <c r="F53" s="2"/>
      <c r="G53" s="2"/>
      <c r="K53" s="78" t="str">
        <f>IF(MAESTRO!A13="","",MAESTRO!A13)</f>
        <v>OPERADORA PUERTO ORDAZ 2013, C.A.(T. PUERTO ORDAZ)</v>
      </c>
      <c r="L53" s="78"/>
      <c r="M53" s="15">
        <v>13</v>
      </c>
      <c r="N53" s="15"/>
      <c r="O53" s="6"/>
    </row>
    <row r="54" spans="5:15" hidden="1" x14ac:dyDescent="0.3">
      <c r="E54" s="2"/>
      <c r="F54" s="2"/>
      <c r="G54" s="2"/>
      <c r="K54" s="78" t="str">
        <f>IF(MAESTRO!A14="","",MAESTRO!A14)</f>
        <v>OPERADORA LAS AMERICAS, C.A</v>
      </c>
      <c r="L54" s="78"/>
      <c r="M54" s="15">
        <v>14</v>
      </c>
      <c r="N54" s="15"/>
      <c r="O54" s="6"/>
    </row>
    <row r="55" spans="5:15" hidden="1" x14ac:dyDescent="0.3">
      <c r="E55" s="2"/>
      <c r="F55" s="2"/>
      <c r="G55" s="2"/>
      <c r="K55" s="78" t="str">
        <f>IF(MAESTRO!A15="","",MAESTRO!A15)</f>
        <v>OPERADORA PLAZA DEL SOL 2015, C.A</v>
      </c>
      <c r="M55" s="15">
        <v>15</v>
      </c>
      <c r="O55" s="6"/>
    </row>
    <row r="56" spans="5:15" hidden="1" x14ac:dyDescent="0.3">
      <c r="E56" s="2"/>
      <c r="F56" s="2"/>
      <c r="G56" s="2"/>
      <c r="K56" s="78" t="str">
        <f>IF(MAESTRO!A16="","",MAESTRO!A16)</f>
        <v>RELIVE, C.A. (T. CHUPARÍN)</v>
      </c>
    </row>
    <row r="57" spans="5:15" hidden="1" x14ac:dyDescent="0.3">
      <c r="K57" s="78" t="str">
        <f>IF(MAESTRO!A17="","",MAESTRO!A17)</f>
        <v>RELIVE, C.A. (T. TERRAZAS)</v>
      </c>
    </row>
    <row r="58" spans="5:15" hidden="1" x14ac:dyDescent="0.3">
      <c r="K58" s="78" t="str">
        <f>IF(MAESTRO!A18="","",MAESTRO!A18)</f>
        <v>RELIVE, C.A. (T. TIGRE II)</v>
      </c>
    </row>
    <row r="59" spans="5:15" hidden="1" x14ac:dyDescent="0.3">
      <c r="K59" s="78" t="str">
        <f>IF(MAESTRO!A19="","",MAESTRO!A19)</f>
        <v>RELIVE, C.A. (T. TIGRE III)</v>
      </c>
    </row>
    <row r="60" spans="5:15" hidden="1" x14ac:dyDescent="0.3">
      <c r="K60" s="78" t="s">
        <v>100</v>
      </c>
    </row>
    <row r="61" spans="5:15" x14ac:dyDescent="0.3">
      <c r="K61" s="78" t="str">
        <f>IF(MAESTRO!A21="","",MAESTRO!A21)</f>
        <v/>
      </c>
    </row>
  </sheetData>
  <sheetProtection selectLockedCells="1"/>
  <dataConsolidate/>
  <mergeCells count="49">
    <mergeCell ref="A33:B33"/>
    <mergeCell ref="C33:D33"/>
    <mergeCell ref="A35:K36"/>
    <mergeCell ref="B29:C29"/>
    <mergeCell ref="H29:K29"/>
    <mergeCell ref="A30:F30"/>
    <mergeCell ref="G30:K30"/>
    <mergeCell ref="A32:B32"/>
    <mergeCell ref="C32:D32"/>
    <mergeCell ref="B26:C26"/>
    <mergeCell ref="H26:K26"/>
    <mergeCell ref="B27:C27"/>
    <mergeCell ref="H27:K27"/>
    <mergeCell ref="B28:C28"/>
    <mergeCell ref="H28:K28"/>
    <mergeCell ref="B23:C23"/>
    <mergeCell ref="H23:K23"/>
    <mergeCell ref="B24:C24"/>
    <mergeCell ref="H24:K24"/>
    <mergeCell ref="B25:C25"/>
    <mergeCell ref="H25:K25"/>
    <mergeCell ref="B14:C14"/>
    <mergeCell ref="H14:K14"/>
    <mergeCell ref="A15:A22"/>
    <mergeCell ref="B15:C22"/>
    <mergeCell ref="D15:D22"/>
    <mergeCell ref="E15:E22"/>
    <mergeCell ref="F15:F22"/>
    <mergeCell ref="G15:G22"/>
    <mergeCell ref="H22:K22"/>
    <mergeCell ref="B11:C11"/>
    <mergeCell ref="H11:K11"/>
    <mergeCell ref="B12:C12"/>
    <mergeCell ref="H12:K12"/>
    <mergeCell ref="B13:C13"/>
    <mergeCell ref="H13:K13"/>
    <mergeCell ref="B10:C10"/>
    <mergeCell ref="H10:K10"/>
    <mergeCell ref="A1:B3"/>
    <mergeCell ref="C1:H3"/>
    <mergeCell ref="J1:K1"/>
    <mergeCell ref="J3:K3"/>
    <mergeCell ref="C5:G5"/>
    <mergeCell ref="I5:J5"/>
    <mergeCell ref="A7:K7"/>
    <mergeCell ref="B8:C8"/>
    <mergeCell ref="H8:K8"/>
    <mergeCell ref="B9:C9"/>
    <mergeCell ref="H9:K9"/>
  </mergeCells>
  <dataValidations count="4">
    <dataValidation type="list" allowBlank="1" showInputMessage="1" showErrorMessage="1" sqref="D10:D14 D23:D25 D27:D29 D26:F26" xr:uid="{00000000-0002-0000-1300-000000000000}">
      <formula1>$M$33:$M$49</formula1>
    </dataValidation>
    <dataValidation type="list" allowBlank="1" showInputMessage="1" showErrorMessage="1" sqref="D9" xr:uid="{00000000-0002-0000-1300-000001000000}">
      <formula1>$M$33:$M$48</formula1>
    </dataValidation>
    <dataValidation type="list" allowBlank="1" showInputMessage="1" showErrorMessage="1" sqref="D15 E9:F15 E23:F25 E27:F29" xr:uid="{00000000-0002-0000-1300-000002000000}">
      <formula1>$M$41:$M$55</formula1>
    </dataValidation>
    <dataValidation type="list" allowBlank="1" showInputMessage="1" showErrorMessage="1" sqref="C5:G5" xr:uid="{00000000-0002-0000-1300-000003000000}">
      <formula1>$L$1:$L$20</formula1>
    </dataValidation>
  </dataValidations>
  <pageMargins left="0.39370078740157483" right="0.39370078740157483" top="0.59055118110236227" bottom="0.59055118110236227" header="0.31496062992125984" footer="0.31496062992125984"/>
  <pageSetup scale="67" orientation="portrait" r:id="rId1"/>
  <headerFooter>
    <oddFooter>&amp;RPág. &amp;P -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59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T41" sqref="T41"/>
    </sheetView>
  </sheetViews>
  <sheetFormatPr baseColWidth="10" defaultRowHeight="14.4" x14ac:dyDescent="0.3"/>
  <cols>
    <col min="3" max="3" width="12.6640625" customWidth="1"/>
    <col min="4" max="4" width="12.21875" customWidth="1"/>
    <col min="11" max="11" width="13.109375" customWidth="1"/>
    <col min="17" max="18" width="11.44140625" style="78"/>
    <col min="19" max="19" width="13" style="78" customWidth="1"/>
  </cols>
  <sheetData>
    <row r="1" spans="1:20" ht="15" thickBot="1" x14ac:dyDescent="0.35">
      <c r="A1" s="204" t="s">
        <v>9</v>
      </c>
      <c r="B1" s="204"/>
      <c r="C1" s="205" t="s">
        <v>10</v>
      </c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</row>
    <row r="2" spans="1:20" ht="15" thickBot="1" x14ac:dyDescent="0.35">
      <c r="A2" s="204"/>
      <c r="B2" s="204"/>
      <c r="C2" s="79" t="s">
        <v>129</v>
      </c>
      <c r="D2" s="79" t="s">
        <v>130</v>
      </c>
      <c r="E2" s="79" t="s">
        <v>131</v>
      </c>
      <c r="F2" s="79" t="s">
        <v>132</v>
      </c>
      <c r="G2" s="79" t="s">
        <v>133</v>
      </c>
      <c r="H2" s="79" t="s">
        <v>134</v>
      </c>
      <c r="I2" s="79" t="s">
        <v>136</v>
      </c>
      <c r="J2" s="79" t="s">
        <v>135</v>
      </c>
      <c r="K2" s="79" t="s">
        <v>137</v>
      </c>
      <c r="L2" s="79" t="s">
        <v>138</v>
      </c>
      <c r="M2" s="79" t="s">
        <v>139</v>
      </c>
      <c r="N2" s="79" t="s">
        <v>140</v>
      </c>
      <c r="O2" s="79" t="s">
        <v>141</v>
      </c>
      <c r="P2" s="79" t="s">
        <v>142</v>
      </c>
      <c r="Q2" s="79" t="s">
        <v>143</v>
      </c>
      <c r="R2" s="79" t="s">
        <v>144</v>
      </c>
      <c r="S2" s="79" t="s">
        <v>145</v>
      </c>
      <c r="T2" s="79" t="s">
        <v>84</v>
      </c>
    </row>
    <row r="3" spans="1:20" ht="15" thickBot="1" x14ac:dyDescent="0.35">
      <c r="A3" s="203" t="s">
        <v>27</v>
      </c>
      <c r="B3" s="98" t="s">
        <v>85</v>
      </c>
      <c r="C3" s="89">
        <f>BERNARDINO!D9</f>
        <v>4</v>
      </c>
      <c r="D3" s="89">
        <f>DSPARAISO!D9</f>
        <v>4</v>
      </c>
      <c r="E3" s="89">
        <f>PARAISO!D9</f>
        <v>3</v>
      </c>
      <c r="F3" s="89">
        <f>PRESIDENTE!D9</f>
        <v>2</v>
      </c>
      <c r="G3" s="89">
        <f>FLORES!D9</f>
        <v>3</v>
      </c>
      <c r="H3" s="89">
        <f>ANTONIO!D9</f>
        <v>2</v>
      </c>
      <c r="I3" s="89">
        <f>'GUARENAS C'!D9</f>
        <v>2</v>
      </c>
      <c r="J3" s="89">
        <f>CCCT!D9</f>
        <v>3</v>
      </c>
      <c r="K3" s="89">
        <f>'GUARENAS 27'!D9</f>
        <v>2</v>
      </c>
      <c r="L3" s="89">
        <f>'GUATIRE C'!D9</f>
        <v>2</v>
      </c>
      <c r="M3" s="89">
        <f>'GUATIRE P'!D9</f>
        <v>3</v>
      </c>
      <c r="N3" s="89">
        <f>'GUATIRE R'!D9</f>
        <v>2</v>
      </c>
      <c r="O3" s="89">
        <f>CAUCAGUA!D9</f>
        <v>3</v>
      </c>
      <c r="P3" s="89">
        <f>HIGUEROTE!D9</f>
        <v>2</v>
      </c>
      <c r="Q3" s="89">
        <f>'S MARTIN'!D9</f>
        <v>2</v>
      </c>
      <c r="R3" s="89">
        <f>'NUEVO C'!D9</f>
        <v>2</v>
      </c>
      <c r="S3" s="89">
        <f>DSCASTELLANA!D9</f>
        <v>4</v>
      </c>
      <c r="T3" s="90">
        <f>SUM(C3:Q3)</f>
        <v>39</v>
      </c>
    </row>
    <row r="4" spans="1:20" ht="15" thickBot="1" x14ac:dyDescent="0.35">
      <c r="A4" s="203"/>
      <c r="B4" s="98" t="s">
        <v>86</v>
      </c>
      <c r="C4" s="89">
        <f>BERNARDINO!E9</f>
        <v>4</v>
      </c>
      <c r="D4" s="89">
        <f>DSPARAISO!E9</f>
        <v>4</v>
      </c>
      <c r="E4" s="89">
        <f>PARAISO!E9</f>
        <v>3</v>
      </c>
      <c r="F4" s="89">
        <f>PRESIDENTE!E9</f>
        <v>2</v>
      </c>
      <c r="G4" s="89">
        <f>FLORES!E9</f>
        <v>3</v>
      </c>
      <c r="H4" s="89">
        <f>ANTONIO!E9</f>
        <v>2</v>
      </c>
      <c r="I4" s="89">
        <f>'GUARENAS C'!E9</f>
        <v>2</v>
      </c>
      <c r="J4" s="89">
        <f>CCCT!E9</f>
        <v>3</v>
      </c>
      <c r="K4" s="89">
        <f>'GUARENAS 27'!E9</f>
        <v>2</v>
      </c>
      <c r="L4" s="89">
        <f>'GUATIRE C'!E9</f>
        <v>2</v>
      </c>
      <c r="M4" s="89">
        <f>'GUATIRE P'!E9</f>
        <v>3</v>
      </c>
      <c r="N4" s="89">
        <f>'GUATIRE R'!E9</f>
        <v>2</v>
      </c>
      <c r="O4" s="89">
        <f>CAUCAGUA!E9</f>
        <v>3</v>
      </c>
      <c r="P4" s="89">
        <f>HIGUEROTE!E9</f>
        <v>2</v>
      </c>
      <c r="Q4" s="89">
        <f>'S MARTIN'!E9</f>
        <v>2</v>
      </c>
      <c r="R4" s="89">
        <f>'NUEVO C'!E9</f>
        <v>2</v>
      </c>
      <c r="S4" s="89">
        <f>DSCASTELLANA!E9</f>
        <v>4</v>
      </c>
      <c r="T4" s="90">
        <f>SUM(C4:Q4)</f>
        <v>39</v>
      </c>
    </row>
    <row r="5" spans="1:20" ht="15" thickBot="1" x14ac:dyDescent="0.35">
      <c r="A5" s="203"/>
      <c r="B5" s="98" t="s">
        <v>87</v>
      </c>
      <c r="C5" s="89">
        <f>BERNARDINO!F9</f>
        <v>4</v>
      </c>
      <c r="D5" s="89">
        <f>DSPARAISO!F9</f>
        <v>4</v>
      </c>
      <c r="E5" s="89">
        <f>PARAISO!E9</f>
        <v>3</v>
      </c>
      <c r="F5" s="89">
        <v>2</v>
      </c>
      <c r="G5" s="89">
        <f>FLORES!F9</f>
        <v>3</v>
      </c>
      <c r="H5" s="89">
        <f>ANTONIO!F9</f>
        <v>2</v>
      </c>
      <c r="I5" s="89">
        <f>'GUARENAS C'!E9</f>
        <v>2</v>
      </c>
      <c r="J5" s="89">
        <f>CCCT!F9</f>
        <v>3</v>
      </c>
      <c r="K5" s="89">
        <f>'GUARENAS 27'!F9</f>
        <v>2</v>
      </c>
      <c r="L5" s="89">
        <f>'GUATIRE C'!F9</f>
        <v>2</v>
      </c>
      <c r="M5" s="89">
        <f>'GUATIRE P'!F9</f>
        <v>3</v>
      </c>
      <c r="N5" s="89">
        <f>'GUATIRE R'!F9</f>
        <v>2</v>
      </c>
      <c r="O5" s="89">
        <f>CAUCAGUA!F9</f>
        <v>3</v>
      </c>
      <c r="P5" s="89">
        <f>HIGUEROTE!F9</f>
        <v>2</v>
      </c>
      <c r="Q5" s="89">
        <f>'S MARTIN'!F9</f>
        <v>2</v>
      </c>
      <c r="R5" s="89">
        <f>'NUEVO C'!F9</f>
        <v>2</v>
      </c>
      <c r="S5" s="89">
        <f>DSCASTELLANA!F9</f>
        <v>4</v>
      </c>
      <c r="T5" s="90">
        <f>SUM(C5:Q5)</f>
        <v>39</v>
      </c>
    </row>
    <row r="6" spans="1:20" ht="15" thickBot="1" x14ac:dyDescent="0.35">
      <c r="A6" s="203"/>
      <c r="B6" s="99" t="s">
        <v>88</v>
      </c>
      <c r="C6" s="91">
        <f>+C5/C4</f>
        <v>1</v>
      </c>
      <c r="D6" s="91">
        <f t="shared" ref="D6:T6" si="0">+D5/D4</f>
        <v>1</v>
      </c>
      <c r="E6" s="91">
        <f t="shared" si="0"/>
        <v>1</v>
      </c>
      <c r="F6" s="91">
        <f t="shared" si="0"/>
        <v>1</v>
      </c>
      <c r="G6" s="91">
        <f t="shared" si="0"/>
        <v>1</v>
      </c>
      <c r="H6" s="91">
        <f t="shared" si="0"/>
        <v>1</v>
      </c>
      <c r="I6" s="91">
        <f t="shared" si="0"/>
        <v>1</v>
      </c>
      <c r="J6" s="91">
        <f t="shared" si="0"/>
        <v>1</v>
      </c>
      <c r="K6" s="91">
        <f t="shared" si="0"/>
        <v>1</v>
      </c>
      <c r="L6" s="91">
        <f t="shared" si="0"/>
        <v>1</v>
      </c>
      <c r="M6" s="91">
        <f t="shared" si="0"/>
        <v>1</v>
      </c>
      <c r="N6" s="91">
        <f t="shared" si="0"/>
        <v>1</v>
      </c>
      <c r="O6" s="91">
        <f t="shared" si="0"/>
        <v>1</v>
      </c>
      <c r="P6" s="91">
        <f t="shared" si="0"/>
        <v>1</v>
      </c>
      <c r="Q6" s="91">
        <f t="shared" si="0"/>
        <v>1</v>
      </c>
      <c r="R6" s="91">
        <f t="shared" si="0"/>
        <v>1</v>
      </c>
      <c r="S6" s="91">
        <f t="shared" si="0"/>
        <v>1</v>
      </c>
      <c r="T6" s="92">
        <f t="shared" si="0"/>
        <v>1</v>
      </c>
    </row>
    <row r="7" spans="1:20" ht="15" thickBot="1" x14ac:dyDescent="0.35">
      <c r="A7" s="203" t="s">
        <v>26</v>
      </c>
      <c r="B7" s="98" t="s">
        <v>85</v>
      </c>
      <c r="C7" s="89">
        <f>BERNARDINO!D10</f>
        <v>4</v>
      </c>
      <c r="D7" s="89">
        <f>DSPARAISO!D10</f>
        <v>4</v>
      </c>
      <c r="E7" s="89">
        <f>PARAISO!D10</f>
        <v>3</v>
      </c>
      <c r="F7" s="89">
        <v>5</v>
      </c>
      <c r="G7" s="89">
        <f>FLORES!D10</f>
        <v>3</v>
      </c>
      <c r="H7" s="89">
        <f>ANTONIO!D10</f>
        <v>2</v>
      </c>
      <c r="I7" s="89">
        <f>'GUARENAS C'!D10</f>
        <v>2</v>
      </c>
      <c r="J7" s="89">
        <f>CCCT!D10</f>
        <v>3</v>
      </c>
      <c r="K7" s="89">
        <f>'GUARENAS 27'!D10</f>
        <v>2</v>
      </c>
      <c r="L7" s="89">
        <f>'GUATIRE C'!D10</f>
        <v>2</v>
      </c>
      <c r="M7" s="89">
        <f>'GUATIRE P'!D10</f>
        <v>3</v>
      </c>
      <c r="N7" s="89">
        <f>'GUATIRE R'!D10</f>
        <v>2</v>
      </c>
      <c r="O7" s="89">
        <f>CAUCAGUA!D10</f>
        <v>3</v>
      </c>
      <c r="P7" s="89">
        <f>HIGUEROTE!D10</f>
        <v>2</v>
      </c>
      <c r="Q7" s="89">
        <f>'S MARTIN'!D10</f>
        <v>2</v>
      </c>
      <c r="R7" s="89">
        <f>'NUEVO C'!D10</f>
        <v>2</v>
      </c>
      <c r="S7" s="89">
        <f>DSCASTELLANA!D10</f>
        <v>4</v>
      </c>
      <c r="T7" s="90">
        <f>SUM(C7:Q7)</f>
        <v>42</v>
      </c>
    </row>
    <row r="8" spans="1:20" ht="15" thickBot="1" x14ac:dyDescent="0.35">
      <c r="A8" s="203"/>
      <c r="B8" s="98" t="s">
        <v>86</v>
      </c>
      <c r="C8" s="89">
        <f>BERNARDINO!E10</f>
        <v>4</v>
      </c>
      <c r="D8" s="89">
        <f>DSPARAISO!E10</f>
        <v>4</v>
      </c>
      <c r="E8" s="89">
        <f>PARAISO!E10</f>
        <v>3</v>
      </c>
      <c r="F8" s="89">
        <v>5</v>
      </c>
      <c r="G8" s="89">
        <f>FLORES!E10</f>
        <v>3</v>
      </c>
      <c r="H8" s="89">
        <f>ANTONIO!E10</f>
        <v>2</v>
      </c>
      <c r="I8" s="89">
        <f>'GUARENAS C'!E10</f>
        <v>2</v>
      </c>
      <c r="J8" s="89">
        <f>CCCT!E10</f>
        <v>3</v>
      </c>
      <c r="K8" s="89">
        <f>'GUARENAS 27'!E10</f>
        <v>2</v>
      </c>
      <c r="L8" s="89">
        <f>'GUATIRE C'!E10</f>
        <v>2</v>
      </c>
      <c r="M8" s="89">
        <f>'GUATIRE P'!E10</f>
        <v>3</v>
      </c>
      <c r="N8" s="89">
        <f>'GUATIRE R'!E10</f>
        <v>2</v>
      </c>
      <c r="O8" s="89">
        <f>CAUCAGUA!E10</f>
        <v>3</v>
      </c>
      <c r="P8" s="89">
        <f>HIGUEROTE!E10</f>
        <v>2</v>
      </c>
      <c r="Q8" s="89">
        <f>'S MARTIN'!E10</f>
        <v>2</v>
      </c>
      <c r="R8" s="89">
        <f>'NUEVO C'!E10</f>
        <v>2</v>
      </c>
      <c r="S8" s="89">
        <f>DSCASTELLANA!E10</f>
        <v>4</v>
      </c>
      <c r="T8" s="90">
        <f>SUM(C8:Q8)</f>
        <v>42</v>
      </c>
    </row>
    <row r="9" spans="1:20" ht="15" thickBot="1" x14ac:dyDescent="0.35">
      <c r="A9" s="203"/>
      <c r="B9" s="98" t="s">
        <v>87</v>
      </c>
      <c r="C9" s="89">
        <f>BERNARDINO!F10</f>
        <v>3</v>
      </c>
      <c r="D9" s="89">
        <f>DSPARAISO!F10</f>
        <v>4</v>
      </c>
      <c r="E9" s="89">
        <f>PARAISO!E10</f>
        <v>3</v>
      </c>
      <c r="F9" s="89">
        <v>5</v>
      </c>
      <c r="G9" s="89">
        <f>FLORES!F10</f>
        <v>3</v>
      </c>
      <c r="H9" s="89">
        <f>ANTONIO!F10</f>
        <v>2</v>
      </c>
      <c r="I9" s="89">
        <f>'GUARENAS C'!E10</f>
        <v>2</v>
      </c>
      <c r="J9" s="89">
        <f>CCCT!F10</f>
        <v>3</v>
      </c>
      <c r="K9" s="89">
        <f>'GUARENAS 27'!F10</f>
        <v>2</v>
      </c>
      <c r="L9" s="89">
        <f>'GUATIRE C'!F10</f>
        <v>2</v>
      </c>
      <c r="M9" s="89">
        <f>'GUATIRE P'!F10</f>
        <v>3</v>
      </c>
      <c r="N9" s="89">
        <f>'GUATIRE R'!F10</f>
        <v>2</v>
      </c>
      <c r="O9" s="89">
        <f>CAUCAGUA!F10</f>
        <v>3</v>
      </c>
      <c r="P9" s="89">
        <f>HIGUEROTE!F10</f>
        <v>2</v>
      </c>
      <c r="Q9" s="89">
        <f>'S MARTIN'!F10</f>
        <v>2</v>
      </c>
      <c r="R9" s="89">
        <f>'NUEVO C'!F10</f>
        <v>2</v>
      </c>
      <c r="S9" s="89">
        <f>DSCASTELLANA!F10</f>
        <v>4</v>
      </c>
      <c r="T9" s="90">
        <f>SUM(C9:Q9)</f>
        <v>41</v>
      </c>
    </row>
    <row r="10" spans="1:20" ht="15" thickBot="1" x14ac:dyDescent="0.35">
      <c r="A10" s="203"/>
      <c r="B10" s="99" t="s">
        <v>88</v>
      </c>
      <c r="C10" s="91">
        <f>+C9/C8</f>
        <v>0.75</v>
      </c>
      <c r="D10" s="91">
        <f t="shared" ref="D10:T10" si="1">+D9/D8</f>
        <v>1</v>
      </c>
      <c r="E10" s="91">
        <f t="shared" si="1"/>
        <v>1</v>
      </c>
      <c r="F10" s="91">
        <f t="shared" si="1"/>
        <v>1</v>
      </c>
      <c r="G10" s="91">
        <f t="shared" si="1"/>
        <v>1</v>
      </c>
      <c r="H10" s="91">
        <f t="shared" si="1"/>
        <v>1</v>
      </c>
      <c r="I10" s="91">
        <f t="shared" si="1"/>
        <v>1</v>
      </c>
      <c r="J10" s="91">
        <f t="shared" si="1"/>
        <v>1</v>
      </c>
      <c r="K10" s="91">
        <f t="shared" si="1"/>
        <v>1</v>
      </c>
      <c r="L10" s="91">
        <f t="shared" si="1"/>
        <v>1</v>
      </c>
      <c r="M10" s="91">
        <f t="shared" si="1"/>
        <v>1</v>
      </c>
      <c r="N10" s="91">
        <f t="shared" si="1"/>
        <v>1</v>
      </c>
      <c r="O10" s="91">
        <f t="shared" si="1"/>
        <v>1</v>
      </c>
      <c r="P10" s="91">
        <f t="shared" si="1"/>
        <v>1</v>
      </c>
      <c r="Q10" s="91">
        <f t="shared" si="1"/>
        <v>1</v>
      </c>
      <c r="R10" s="91">
        <f t="shared" si="1"/>
        <v>1</v>
      </c>
      <c r="S10" s="91">
        <f t="shared" si="1"/>
        <v>1</v>
      </c>
      <c r="T10" s="92">
        <f t="shared" si="1"/>
        <v>0.97619047619047616</v>
      </c>
    </row>
    <row r="11" spans="1:20" ht="15" thickBot="1" x14ac:dyDescent="0.35">
      <c r="A11" s="206" t="s">
        <v>29</v>
      </c>
      <c r="B11" s="98" t="s">
        <v>85</v>
      </c>
      <c r="C11" s="89">
        <f>BERNARDINO!D11</f>
        <v>4</v>
      </c>
      <c r="D11" s="89">
        <f>DSPARAISO!D11</f>
        <v>4</v>
      </c>
      <c r="E11" s="89">
        <f>PARAISO!D11</f>
        <v>3</v>
      </c>
      <c r="F11" s="89">
        <v>5</v>
      </c>
      <c r="G11" s="89">
        <f>FLORES!D11</f>
        <v>3</v>
      </c>
      <c r="H11" s="89">
        <f>ANTONIO!D11</f>
        <v>2</v>
      </c>
      <c r="I11" s="89">
        <f>'GUARENAS C'!D11</f>
        <v>2</v>
      </c>
      <c r="J11" s="89">
        <f>CCCT!D11</f>
        <v>3</v>
      </c>
      <c r="K11" s="89">
        <f>'GUARENAS 27'!D11</f>
        <v>2</v>
      </c>
      <c r="L11" s="89">
        <f>'GUATIRE C'!D11</f>
        <v>2</v>
      </c>
      <c r="M11" s="89">
        <f>'GUATIRE P'!D11</f>
        <v>3</v>
      </c>
      <c r="N11" s="89">
        <f>'GUATIRE R'!D11</f>
        <v>2</v>
      </c>
      <c r="O11" s="89">
        <f>CAUCAGUA!D11</f>
        <v>3</v>
      </c>
      <c r="P11" s="89">
        <f>HIGUEROTE!D11</f>
        <v>2</v>
      </c>
      <c r="Q11" s="89">
        <f>'S MARTIN'!D11</f>
        <v>2</v>
      </c>
      <c r="R11" s="89">
        <f>'NUEVO C'!D11</f>
        <v>2</v>
      </c>
      <c r="S11" s="89">
        <f>DSCASTELLANA!D11</f>
        <v>4</v>
      </c>
      <c r="T11" s="90">
        <f>SUM(C11:Q11)</f>
        <v>42</v>
      </c>
    </row>
    <row r="12" spans="1:20" ht="15" thickBot="1" x14ac:dyDescent="0.35">
      <c r="A12" s="206"/>
      <c r="B12" s="98" t="s">
        <v>86</v>
      </c>
      <c r="C12" s="89">
        <f>BERNARDINO!E11</f>
        <v>3</v>
      </c>
      <c r="D12" s="89">
        <f>DSPARAISO!E11</f>
        <v>4</v>
      </c>
      <c r="E12" s="89">
        <f>PARAISO!E11</f>
        <v>3</v>
      </c>
      <c r="F12" s="93">
        <v>5</v>
      </c>
      <c r="G12" s="89">
        <f>FLORES!E11</f>
        <v>3</v>
      </c>
      <c r="H12" s="89">
        <f>ANTONIO!E11</f>
        <v>2</v>
      </c>
      <c r="I12" s="89">
        <f>'GUARENAS C'!E11</f>
        <v>2</v>
      </c>
      <c r="J12" s="89">
        <f>CCCT!E11</f>
        <v>3</v>
      </c>
      <c r="K12" s="89">
        <f>'GUARENAS 27'!E11</f>
        <v>2</v>
      </c>
      <c r="L12" s="89">
        <f>'GUATIRE C'!E11</f>
        <v>2</v>
      </c>
      <c r="M12" s="89">
        <f>'GUATIRE P'!E11</f>
        <v>3</v>
      </c>
      <c r="N12" s="89">
        <f>'GUATIRE R'!E11</f>
        <v>2</v>
      </c>
      <c r="O12" s="89">
        <f>CAUCAGUA!E11</f>
        <v>3</v>
      </c>
      <c r="P12" s="89">
        <f>HIGUEROTE!E11</f>
        <v>2</v>
      </c>
      <c r="Q12" s="89">
        <f>'S MARTIN'!E11</f>
        <v>2</v>
      </c>
      <c r="R12" s="89">
        <f>'NUEVO C'!E11</f>
        <v>2</v>
      </c>
      <c r="S12" s="89">
        <f>DSCASTELLANA!E11</f>
        <v>4</v>
      </c>
      <c r="T12" s="90">
        <f>SUM(C12:Q12)</f>
        <v>41</v>
      </c>
    </row>
    <row r="13" spans="1:20" ht="15" thickBot="1" x14ac:dyDescent="0.35">
      <c r="A13" s="206"/>
      <c r="B13" s="98" t="s">
        <v>87</v>
      </c>
      <c r="C13" s="89">
        <f>BERNARDINO!F11</f>
        <v>4</v>
      </c>
      <c r="D13" s="89">
        <f>DSPARAISO!F11</f>
        <v>4</v>
      </c>
      <c r="E13" s="89">
        <f>PARAISO!E11</f>
        <v>3</v>
      </c>
      <c r="F13" s="89">
        <v>5</v>
      </c>
      <c r="G13" s="89">
        <f>FLORES!F11</f>
        <v>3</v>
      </c>
      <c r="H13" s="89">
        <f>ANTONIO!F11</f>
        <v>2</v>
      </c>
      <c r="I13" s="89">
        <f>'GUARENAS C'!E11</f>
        <v>2</v>
      </c>
      <c r="J13" s="89">
        <f>CCCT!F11</f>
        <v>3</v>
      </c>
      <c r="K13" s="89">
        <f>'GUARENAS 27'!F11</f>
        <v>2</v>
      </c>
      <c r="L13" s="89">
        <f>'GUATIRE C'!F11</f>
        <v>2</v>
      </c>
      <c r="M13" s="89">
        <f>'GUATIRE P'!F11</f>
        <v>3</v>
      </c>
      <c r="N13" s="89">
        <f>'GUATIRE R'!F11</f>
        <v>2</v>
      </c>
      <c r="O13" s="89">
        <f>CAUCAGUA!F11</f>
        <v>3</v>
      </c>
      <c r="P13" s="89">
        <f>HIGUEROTE!F11</f>
        <v>2</v>
      </c>
      <c r="Q13" s="89">
        <f>'S MARTIN'!F11</f>
        <v>2</v>
      </c>
      <c r="R13" s="89">
        <f>'NUEVO C'!F11</f>
        <v>2</v>
      </c>
      <c r="S13" s="89">
        <f>DSCASTELLANA!F11</f>
        <v>4</v>
      </c>
      <c r="T13" s="90">
        <f>SUM(C13:Q13)</f>
        <v>42</v>
      </c>
    </row>
    <row r="14" spans="1:20" ht="15" thickBot="1" x14ac:dyDescent="0.35">
      <c r="A14" s="206"/>
      <c r="B14" s="99" t="s">
        <v>88</v>
      </c>
      <c r="C14" s="91">
        <f>+C13/C12</f>
        <v>1.3333333333333333</v>
      </c>
      <c r="D14" s="91">
        <f t="shared" ref="D14:T14" si="2">+D13/D12</f>
        <v>1</v>
      </c>
      <c r="E14" s="91">
        <f t="shared" si="2"/>
        <v>1</v>
      </c>
      <c r="F14" s="91">
        <f t="shared" si="2"/>
        <v>1</v>
      </c>
      <c r="G14" s="91">
        <f t="shared" si="2"/>
        <v>1</v>
      </c>
      <c r="H14" s="91">
        <f t="shared" si="2"/>
        <v>1</v>
      </c>
      <c r="I14" s="91">
        <f t="shared" si="2"/>
        <v>1</v>
      </c>
      <c r="J14" s="91">
        <f t="shared" si="2"/>
        <v>1</v>
      </c>
      <c r="K14" s="91">
        <f t="shared" si="2"/>
        <v>1</v>
      </c>
      <c r="L14" s="91">
        <f t="shared" si="2"/>
        <v>1</v>
      </c>
      <c r="M14" s="91">
        <f t="shared" si="2"/>
        <v>1</v>
      </c>
      <c r="N14" s="91">
        <f t="shared" si="2"/>
        <v>1</v>
      </c>
      <c r="O14" s="91">
        <f t="shared" si="2"/>
        <v>1</v>
      </c>
      <c r="P14" s="91">
        <f>+P13/P12</f>
        <v>1</v>
      </c>
      <c r="Q14" s="91">
        <f t="shared" si="2"/>
        <v>1</v>
      </c>
      <c r="R14" s="91">
        <f t="shared" si="2"/>
        <v>1</v>
      </c>
      <c r="S14" s="91">
        <f t="shared" si="2"/>
        <v>1</v>
      </c>
      <c r="T14" s="92">
        <f t="shared" si="2"/>
        <v>1.024390243902439</v>
      </c>
    </row>
    <row r="15" spans="1:20" ht="15" thickBot="1" x14ac:dyDescent="0.35">
      <c r="A15" s="203" t="s">
        <v>28</v>
      </c>
      <c r="B15" s="98" t="s">
        <v>85</v>
      </c>
      <c r="C15" s="89">
        <f>BERNARDINO!D12</f>
        <v>4</v>
      </c>
      <c r="D15" s="89">
        <f>DSPARAISO!D12</f>
        <v>4</v>
      </c>
      <c r="E15" s="89">
        <f>PARAISO!D12</f>
        <v>3</v>
      </c>
      <c r="F15" s="89">
        <v>5</v>
      </c>
      <c r="G15" s="89">
        <f>FLORES!D12</f>
        <v>3</v>
      </c>
      <c r="H15" s="89">
        <f>ANTONIO!D12</f>
        <v>2</v>
      </c>
      <c r="I15" s="89">
        <f>'GUARENAS C'!D12</f>
        <v>2</v>
      </c>
      <c r="J15" s="89">
        <f>CCCT!D12</f>
        <v>3</v>
      </c>
      <c r="K15" s="89">
        <f>'GUARENAS 27'!D12</f>
        <v>2</v>
      </c>
      <c r="L15" s="89">
        <f>'GUATIRE C'!D12</f>
        <v>2</v>
      </c>
      <c r="M15" s="89">
        <f>'GUATIRE P'!D12</f>
        <v>3</v>
      </c>
      <c r="N15" s="89">
        <f>'GUATIRE R'!D12</f>
        <v>2</v>
      </c>
      <c r="O15" s="89">
        <f>CAUCAGUA!D12</f>
        <v>3</v>
      </c>
      <c r="P15" s="89">
        <f>HIGUEROTE!D12</f>
        <v>2</v>
      </c>
      <c r="Q15" s="89">
        <f>'S MARTIN'!D12</f>
        <v>2</v>
      </c>
      <c r="R15" s="89">
        <f>'NUEVO C'!D12</f>
        <v>2</v>
      </c>
      <c r="S15" s="89">
        <f>DSCASTELLANA!D12</f>
        <v>4</v>
      </c>
      <c r="T15" s="90">
        <f>SUM(C15:Q15)</f>
        <v>42</v>
      </c>
    </row>
    <row r="16" spans="1:20" ht="15" thickBot="1" x14ac:dyDescent="0.35">
      <c r="A16" s="203"/>
      <c r="B16" s="98" t="s">
        <v>86</v>
      </c>
      <c r="C16" s="89">
        <f>BERNARDINO!E12</f>
        <v>3</v>
      </c>
      <c r="D16" s="89">
        <f>DSPARAISO!E12</f>
        <v>4</v>
      </c>
      <c r="E16" s="89">
        <f>PARAISO!E12</f>
        <v>3</v>
      </c>
      <c r="F16" s="93">
        <v>5</v>
      </c>
      <c r="G16" s="89">
        <f>FLORES!E12</f>
        <v>3</v>
      </c>
      <c r="H16" s="89">
        <f>ANTONIO!E12</f>
        <v>2</v>
      </c>
      <c r="I16" s="89">
        <f>'GUARENAS C'!E12</f>
        <v>2</v>
      </c>
      <c r="J16" s="89">
        <f>CCCT!E12</f>
        <v>3</v>
      </c>
      <c r="K16" s="89">
        <f>'GUARENAS 27'!E12</f>
        <v>2</v>
      </c>
      <c r="L16" s="89">
        <f>'GUATIRE C'!E12</f>
        <v>2</v>
      </c>
      <c r="M16" s="89">
        <f>'GUATIRE P'!E12</f>
        <v>3</v>
      </c>
      <c r="N16" s="89">
        <f>'GUATIRE R'!E12</f>
        <v>2</v>
      </c>
      <c r="O16" s="89">
        <f>CAUCAGUA!E12</f>
        <v>3</v>
      </c>
      <c r="P16" s="89">
        <f>HIGUEROTE!E12</f>
        <v>2</v>
      </c>
      <c r="Q16" s="89">
        <f>'S MARTIN'!E12</f>
        <v>2</v>
      </c>
      <c r="R16" s="89">
        <f>'NUEVO C'!E12</f>
        <v>2</v>
      </c>
      <c r="S16" s="89">
        <f>DSCASTELLANA!E12</f>
        <v>3</v>
      </c>
      <c r="T16" s="90">
        <f>SUM(C16:Q16)</f>
        <v>41</v>
      </c>
    </row>
    <row r="17" spans="1:20" ht="15" thickBot="1" x14ac:dyDescent="0.35">
      <c r="A17" s="203"/>
      <c r="B17" s="98" t="s">
        <v>87</v>
      </c>
      <c r="C17" s="89">
        <f>BERNARDINO!F12</f>
        <v>4</v>
      </c>
      <c r="D17" s="89">
        <f>DSPARAISO!F12</f>
        <v>4</v>
      </c>
      <c r="E17" s="89">
        <f>PARAISO!E12</f>
        <v>3</v>
      </c>
      <c r="F17" s="89">
        <v>5</v>
      </c>
      <c r="G17" s="89">
        <f>FLORES!F12</f>
        <v>3</v>
      </c>
      <c r="H17" s="89">
        <f>ANTONIO!F12</f>
        <v>2</v>
      </c>
      <c r="I17" s="89">
        <f>'GUARENAS C'!E12</f>
        <v>2</v>
      </c>
      <c r="J17" s="89">
        <f>CCCT!F12</f>
        <v>3</v>
      </c>
      <c r="K17" s="89">
        <f>'GUARENAS 27'!F12</f>
        <v>2</v>
      </c>
      <c r="L17" s="89">
        <f>'GUATIRE C'!F12</f>
        <v>2</v>
      </c>
      <c r="M17" s="89">
        <f>'GUATIRE P'!F12</f>
        <v>3</v>
      </c>
      <c r="N17" s="89">
        <f>'GUATIRE R'!F12</f>
        <v>2</v>
      </c>
      <c r="O17" s="89">
        <f>CAUCAGUA!F12</f>
        <v>3</v>
      </c>
      <c r="P17" s="89">
        <f>HIGUEROTE!F12</f>
        <v>2</v>
      </c>
      <c r="Q17" s="89">
        <f>'S MARTIN'!F12</f>
        <v>2</v>
      </c>
      <c r="R17" s="89">
        <f>'NUEVO C'!F12</f>
        <v>2</v>
      </c>
      <c r="S17" s="89">
        <f>DSCASTELLANA!F12</f>
        <v>4</v>
      </c>
      <c r="T17" s="90">
        <f>SUM(C17:Q17)</f>
        <v>42</v>
      </c>
    </row>
    <row r="18" spans="1:20" ht="15" thickBot="1" x14ac:dyDescent="0.35">
      <c r="A18" s="203"/>
      <c r="B18" s="99" t="s">
        <v>88</v>
      </c>
      <c r="C18" s="91">
        <f>+C17/C16</f>
        <v>1.3333333333333333</v>
      </c>
      <c r="D18" s="91">
        <f t="shared" ref="D18:T18" si="3">+D17/D16</f>
        <v>1</v>
      </c>
      <c r="E18" s="91">
        <f t="shared" si="3"/>
        <v>1</v>
      </c>
      <c r="F18" s="91">
        <f t="shared" si="3"/>
        <v>1</v>
      </c>
      <c r="G18" s="91">
        <f t="shared" si="3"/>
        <v>1</v>
      </c>
      <c r="H18" s="91">
        <f t="shared" si="3"/>
        <v>1</v>
      </c>
      <c r="I18" s="91">
        <f t="shared" si="3"/>
        <v>1</v>
      </c>
      <c r="J18" s="91">
        <f t="shared" si="3"/>
        <v>1</v>
      </c>
      <c r="K18" s="91">
        <f t="shared" si="3"/>
        <v>1</v>
      </c>
      <c r="L18" s="91">
        <f t="shared" si="3"/>
        <v>1</v>
      </c>
      <c r="M18" s="91">
        <f t="shared" si="3"/>
        <v>1</v>
      </c>
      <c r="N18" s="91">
        <f t="shared" si="3"/>
        <v>1</v>
      </c>
      <c r="O18" s="91">
        <f t="shared" si="3"/>
        <v>1</v>
      </c>
      <c r="P18" s="91">
        <f t="shared" si="3"/>
        <v>1</v>
      </c>
      <c r="Q18" s="91">
        <f t="shared" si="3"/>
        <v>1</v>
      </c>
      <c r="R18" s="91">
        <f t="shared" si="3"/>
        <v>1</v>
      </c>
      <c r="S18" s="91">
        <f t="shared" si="3"/>
        <v>1.3333333333333333</v>
      </c>
      <c r="T18" s="92">
        <f t="shared" si="3"/>
        <v>1.024390243902439</v>
      </c>
    </row>
    <row r="19" spans="1:20" ht="15" thickBot="1" x14ac:dyDescent="0.35">
      <c r="A19" s="203" t="s">
        <v>20</v>
      </c>
      <c r="B19" s="98" t="s">
        <v>85</v>
      </c>
      <c r="C19" s="89">
        <f>BERNARDINO!D13</f>
        <v>4</v>
      </c>
      <c r="D19" s="89">
        <f>DSPARAISO!D13</f>
        <v>4</v>
      </c>
      <c r="E19" s="89">
        <f>PARAISO!D13</f>
        <v>3</v>
      </c>
      <c r="F19" s="89">
        <v>5</v>
      </c>
      <c r="G19" s="89">
        <f>FLORES!D13</f>
        <v>3</v>
      </c>
      <c r="H19" s="89">
        <f>ANTONIO!D13</f>
        <v>2</v>
      </c>
      <c r="I19" s="89">
        <f>'GUARENAS C'!D13</f>
        <v>2</v>
      </c>
      <c r="J19" s="89">
        <f>CCCT!D13</f>
        <v>3</v>
      </c>
      <c r="K19" s="89">
        <f>'GUARENAS 27'!D13</f>
        <v>2</v>
      </c>
      <c r="L19" s="89">
        <f>'GUATIRE C'!D13</f>
        <v>2</v>
      </c>
      <c r="M19" s="89">
        <f>'GUATIRE P'!D13</f>
        <v>3</v>
      </c>
      <c r="N19" s="89">
        <f>'GUATIRE R'!D13</f>
        <v>2</v>
      </c>
      <c r="O19" s="89">
        <f>CAUCAGUA!D13</f>
        <v>3</v>
      </c>
      <c r="P19" s="89">
        <f>HIGUEROTE!D13</f>
        <v>2</v>
      </c>
      <c r="Q19" s="89">
        <f>'S MARTIN'!D13</f>
        <v>2</v>
      </c>
      <c r="R19" s="89">
        <f>'NUEVO C'!D13</f>
        <v>2</v>
      </c>
      <c r="S19" s="89">
        <f>DSCASTELLANA!D13</f>
        <v>4</v>
      </c>
      <c r="T19" s="90">
        <f>SUM(C19:S19)</f>
        <v>48</v>
      </c>
    </row>
    <row r="20" spans="1:20" ht="15" thickBot="1" x14ac:dyDescent="0.35">
      <c r="A20" s="203"/>
      <c r="B20" s="98" t="s">
        <v>86</v>
      </c>
      <c r="C20" s="89">
        <f>BERNARDINO!E13</f>
        <v>4</v>
      </c>
      <c r="D20" s="89">
        <f>DSPARAISO!E13</f>
        <v>4</v>
      </c>
      <c r="E20" s="89">
        <f>PARAISO!E13</f>
        <v>3</v>
      </c>
      <c r="F20" s="89">
        <v>5</v>
      </c>
      <c r="G20" s="89">
        <f>FLORES!E13</f>
        <v>3</v>
      </c>
      <c r="H20" s="89">
        <f>ANTONIO!E13</f>
        <v>2</v>
      </c>
      <c r="I20" s="89">
        <f>'GUARENAS C'!E13</f>
        <v>2</v>
      </c>
      <c r="J20" s="89">
        <f>CCCT!E13</f>
        <v>3</v>
      </c>
      <c r="K20" s="89">
        <f>'GUARENAS 27'!E13</f>
        <v>2</v>
      </c>
      <c r="L20" s="89">
        <f>'GUATIRE C'!E13</f>
        <v>2</v>
      </c>
      <c r="M20" s="89">
        <f>'GUATIRE P'!E13</f>
        <v>3</v>
      </c>
      <c r="N20" s="89">
        <f>'GUATIRE R'!E13</f>
        <v>2</v>
      </c>
      <c r="O20" s="89">
        <f>CAUCAGUA!E13</f>
        <v>3</v>
      </c>
      <c r="P20" s="89">
        <f>HIGUEROTE!E13</f>
        <v>2</v>
      </c>
      <c r="Q20" s="89">
        <f>'S MARTIN'!E13</f>
        <v>2</v>
      </c>
      <c r="R20" s="89">
        <f>'NUEVO C'!E13</f>
        <v>2</v>
      </c>
      <c r="S20" s="89">
        <f>DSCASTELLANA!E13</f>
        <v>4</v>
      </c>
      <c r="T20" s="90">
        <f t="shared" ref="T20:T21" si="4">SUM(C20:S20)</f>
        <v>48</v>
      </c>
    </row>
    <row r="21" spans="1:20" ht="15" thickBot="1" x14ac:dyDescent="0.35">
      <c r="A21" s="203"/>
      <c r="B21" s="98" t="s">
        <v>87</v>
      </c>
      <c r="C21" s="89">
        <f>BERNARDINO!F13</f>
        <v>4</v>
      </c>
      <c r="D21" s="89">
        <f>DSPARAISO!F13</f>
        <v>4</v>
      </c>
      <c r="E21" s="89">
        <f>PARAISO!E13</f>
        <v>3</v>
      </c>
      <c r="F21" s="89">
        <v>5</v>
      </c>
      <c r="G21" s="89">
        <f>FLORES!F13</f>
        <v>3</v>
      </c>
      <c r="H21" s="89">
        <f>ANTONIO!F13</f>
        <v>2</v>
      </c>
      <c r="I21" s="89">
        <f>'GUARENAS C'!E13</f>
        <v>2</v>
      </c>
      <c r="J21" s="89">
        <f>CCCT!F13</f>
        <v>3</v>
      </c>
      <c r="K21" s="89">
        <f>'GUARENAS 27'!F13</f>
        <v>2</v>
      </c>
      <c r="L21" s="89">
        <f>'GUATIRE C'!F13</f>
        <v>2</v>
      </c>
      <c r="M21" s="89">
        <f>'GUATIRE P'!F13</f>
        <v>3</v>
      </c>
      <c r="N21" s="89">
        <f>'GUATIRE R'!F13</f>
        <v>2</v>
      </c>
      <c r="O21" s="89">
        <f>CAUCAGUA!F13</f>
        <v>3</v>
      </c>
      <c r="P21" s="89">
        <f>HIGUEROTE!F13</f>
        <v>2</v>
      </c>
      <c r="Q21" s="89">
        <f>'S MARTIN'!F13</f>
        <v>2</v>
      </c>
      <c r="R21" s="89">
        <f>'NUEVO C'!F13</f>
        <v>2</v>
      </c>
      <c r="S21" s="89">
        <f>DSCASTELLANA!F13</f>
        <v>4</v>
      </c>
      <c r="T21" s="90">
        <f t="shared" si="4"/>
        <v>48</v>
      </c>
    </row>
    <row r="22" spans="1:20" ht="15" thickBot="1" x14ac:dyDescent="0.35">
      <c r="A22" s="203"/>
      <c r="B22" s="99" t="s">
        <v>88</v>
      </c>
      <c r="C22" s="91">
        <f>+C21/C20</f>
        <v>1</v>
      </c>
      <c r="D22" s="91">
        <f t="shared" ref="D22:T22" si="5">+D21/D20</f>
        <v>1</v>
      </c>
      <c r="E22" s="91">
        <f t="shared" si="5"/>
        <v>1</v>
      </c>
      <c r="F22" s="91">
        <f t="shared" si="5"/>
        <v>1</v>
      </c>
      <c r="G22" s="91">
        <f t="shared" si="5"/>
        <v>1</v>
      </c>
      <c r="H22" s="91">
        <f t="shared" si="5"/>
        <v>1</v>
      </c>
      <c r="I22" s="91">
        <f t="shared" si="5"/>
        <v>1</v>
      </c>
      <c r="J22" s="91">
        <f t="shared" si="5"/>
        <v>1</v>
      </c>
      <c r="K22" s="91">
        <f t="shared" si="5"/>
        <v>1</v>
      </c>
      <c r="L22" s="91">
        <f t="shared" si="5"/>
        <v>1</v>
      </c>
      <c r="M22" s="91">
        <f t="shared" si="5"/>
        <v>1</v>
      </c>
      <c r="N22" s="91">
        <f t="shared" si="5"/>
        <v>1</v>
      </c>
      <c r="O22" s="91">
        <f t="shared" si="5"/>
        <v>1</v>
      </c>
      <c r="P22" s="91">
        <f t="shared" si="5"/>
        <v>1</v>
      </c>
      <c r="Q22" s="91">
        <f t="shared" si="5"/>
        <v>1</v>
      </c>
      <c r="R22" s="91">
        <f t="shared" si="5"/>
        <v>1</v>
      </c>
      <c r="S22" s="91">
        <f t="shared" si="5"/>
        <v>1</v>
      </c>
      <c r="T22" s="92">
        <f t="shared" si="5"/>
        <v>1</v>
      </c>
    </row>
    <row r="23" spans="1:20" ht="15" thickBot="1" x14ac:dyDescent="0.35">
      <c r="A23" s="207" t="s">
        <v>53</v>
      </c>
      <c r="B23" s="98" t="s">
        <v>85</v>
      </c>
      <c r="C23" s="89">
        <f>BERNARDINO!D14</f>
        <v>1</v>
      </c>
      <c r="D23" s="89">
        <f>DSPARAISO!D14</f>
        <v>1</v>
      </c>
      <c r="E23" s="89">
        <f>PARAISO!D14</f>
        <v>1</v>
      </c>
      <c r="F23" s="89">
        <v>1</v>
      </c>
      <c r="G23" s="89">
        <f>FLORES!D14</f>
        <v>1</v>
      </c>
      <c r="H23" s="89">
        <f>ANTONIO!D14</f>
        <v>1</v>
      </c>
      <c r="I23" s="89">
        <v>1</v>
      </c>
      <c r="J23" s="89">
        <f>CCCT!D14</f>
        <v>1</v>
      </c>
      <c r="K23" s="89">
        <f>'GUARENAS 27'!D14</f>
        <v>1</v>
      </c>
      <c r="L23" s="89">
        <f>'GUATIRE C'!D14</f>
        <v>1</v>
      </c>
      <c r="M23" s="89">
        <f>'GUATIRE P'!D14</f>
        <v>1</v>
      </c>
      <c r="N23" s="89">
        <f>'GUATIRE R'!D14</f>
        <v>1</v>
      </c>
      <c r="O23" s="89">
        <f>CAUCAGUA!D14</f>
        <v>1</v>
      </c>
      <c r="P23" s="89">
        <f>HIGUEROTE!D14</f>
        <v>1</v>
      </c>
      <c r="Q23" s="89">
        <f>'S MARTIN'!D14</f>
        <v>1</v>
      </c>
      <c r="R23" s="89">
        <f>'NUEVO C'!D14</f>
        <v>1</v>
      </c>
      <c r="S23" s="89">
        <f>DSCASTELLANA!D14</f>
        <v>1</v>
      </c>
      <c r="T23" s="90">
        <f>SUM(C23:Q23)</f>
        <v>15</v>
      </c>
    </row>
    <row r="24" spans="1:20" ht="15" thickBot="1" x14ac:dyDescent="0.35">
      <c r="A24" s="207"/>
      <c r="B24" s="98" t="s">
        <v>86</v>
      </c>
      <c r="C24" s="89">
        <f>BERNARDINO!E14</f>
        <v>1</v>
      </c>
      <c r="D24" s="89">
        <f>DSPARAISO!E14</f>
        <v>1</v>
      </c>
      <c r="E24" s="89">
        <f>PARAISO!E14</f>
        <v>1</v>
      </c>
      <c r="F24" s="89">
        <v>1</v>
      </c>
      <c r="G24" s="89">
        <f>FLORES!E14</f>
        <v>1</v>
      </c>
      <c r="H24" s="89">
        <f>ANTONIO!E14</f>
        <v>1</v>
      </c>
      <c r="I24" s="89">
        <f>'GUARENAS C'!E14</f>
        <v>1</v>
      </c>
      <c r="J24" s="89">
        <f>CCCT!E14</f>
        <v>1</v>
      </c>
      <c r="K24" s="89">
        <f>'GUARENAS 27'!E14</f>
        <v>1</v>
      </c>
      <c r="L24" s="89">
        <f>'GUATIRE C'!E14</f>
        <v>1</v>
      </c>
      <c r="M24" s="89">
        <f>'GUATIRE P'!E14</f>
        <v>1</v>
      </c>
      <c r="N24" s="89">
        <f>'GUATIRE R'!E14</f>
        <v>1</v>
      </c>
      <c r="O24" s="89">
        <f>CAUCAGUA!E14</f>
        <v>1</v>
      </c>
      <c r="P24" s="89">
        <f>HIGUEROTE!E14</f>
        <v>1</v>
      </c>
      <c r="Q24" s="89">
        <f>'S MARTIN'!E14</f>
        <v>1</v>
      </c>
      <c r="R24" s="89">
        <f>'NUEVO C'!E14</f>
        <v>1</v>
      </c>
      <c r="S24" s="89">
        <f>DSCASTELLANA!E14</f>
        <v>1</v>
      </c>
      <c r="T24" s="90">
        <f>SUM(C24:Q24)</f>
        <v>15</v>
      </c>
    </row>
    <row r="25" spans="1:20" ht="15" thickBot="1" x14ac:dyDescent="0.35">
      <c r="A25" s="207"/>
      <c r="B25" s="98" t="s">
        <v>87</v>
      </c>
      <c r="C25" s="89">
        <f>BERNARDINO!F14</f>
        <v>1</v>
      </c>
      <c r="D25" s="89">
        <f>DSPARAISO!F14</f>
        <v>1</v>
      </c>
      <c r="E25" s="89">
        <f>PARAISO!E14</f>
        <v>1</v>
      </c>
      <c r="F25" s="89">
        <v>1</v>
      </c>
      <c r="G25" s="89">
        <f>FLORES!F14</f>
        <v>1</v>
      </c>
      <c r="H25" s="89">
        <f>ANTONIO!F14</f>
        <v>1</v>
      </c>
      <c r="I25" s="89">
        <f>'GUARENAS C'!E14</f>
        <v>1</v>
      </c>
      <c r="J25" s="89">
        <f>CCCT!F14</f>
        <v>1</v>
      </c>
      <c r="K25" s="89">
        <f>'GUARENAS 27'!F14</f>
        <v>1</v>
      </c>
      <c r="L25" s="89">
        <f>'GUATIRE C'!F14</f>
        <v>1</v>
      </c>
      <c r="M25" s="89">
        <f>'GUATIRE P'!F14</f>
        <v>1</v>
      </c>
      <c r="N25" s="89">
        <f>'GUATIRE R'!F14</f>
        <v>1</v>
      </c>
      <c r="O25" s="89">
        <f>CAUCAGUA!F14</f>
        <v>1</v>
      </c>
      <c r="P25" s="89">
        <f>HIGUEROTE!F14</f>
        <v>1</v>
      </c>
      <c r="Q25" s="89">
        <f>'S MARTIN'!F14</f>
        <v>1</v>
      </c>
      <c r="R25" s="89">
        <f>'NUEVO C'!F14</f>
        <v>1</v>
      </c>
      <c r="S25" s="89">
        <f>DSCASTELLANA!F14</f>
        <v>1</v>
      </c>
      <c r="T25" s="90">
        <f>SUM(C25:Q25)</f>
        <v>15</v>
      </c>
    </row>
    <row r="26" spans="1:20" ht="15" thickBot="1" x14ac:dyDescent="0.35">
      <c r="A26" s="207"/>
      <c r="B26" s="99" t="s">
        <v>88</v>
      </c>
      <c r="C26" s="91">
        <f>+C25/C24</f>
        <v>1</v>
      </c>
      <c r="D26" s="91">
        <f t="shared" ref="D26:T26" si="6">+D25/D24</f>
        <v>1</v>
      </c>
      <c r="E26" s="91">
        <f>+E25/E24</f>
        <v>1</v>
      </c>
      <c r="F26" s="91">
        <f t="shared" si="6"/>
        <v>1</v>
      </c>
      <c r="G26" s="91">
        <f t="shared" si="6"/>
        <v>1</v>
      </c>
      <c r="H26" s="91">
        <f t="shared" si="6"/>
        <v>1</v>
      </c>
      <c r="I26" s="91">
        <f t="shared" si="6"/>
        <v>1</v>
      </c>
      <c r="J26" s="91">
        <f t="shared" si="6"/>
        <v>1</v>
      </c>
      <c r="K26" s="91">
        <f t="shared" si="6"/>
        <v>1</v>
      </c>
      <c r="L26" s="91">
        <f t="shared" si="6"/>
        <v>1</v>
      </c>
      <c r="M26" s="91">
        <f t="shared" si="6"/>
        <v>1</v>
      </c>
      <c r="N26" s="91">
        <f t="shared" si="6"/>
        <v>1</v>
      </c>
      <c r="O26" s="91">
        <f t="shared" si="6"/>
        <v>1</v>
      </c>
      <c r="P26" s="91">
        <f t="shared" si="6"/>
        <v>1</v>
      </c>
      <c r="Q26" s="91">
        <f t="shared" si="6"/>
        <v>1</v>
      </c>
      <c r="R26" s="91">
        <f t="shared" si="6"/>
        <v>1</v>
      </c>
      <c r="S26" s="91">
        <f t="shared" si="6"/>
        <v>1</v>
      </c>
      <c r="T26" s="92">
        <f t="shared" si="6"/>
        <v>1</v>
      </c>
    </row>
    <row r="27" spans="1:20" ht="15" thickBot="1" x14ac:dyDescent="0.35">
      <c r="A27" s="207" t="s">
        <v>22</v>
      </c>
      <c r="B27" s="98" t="s">
        <v>85</v>
      </c>
      <c r="C27" s="89">
        <f>BERNARDINO!D15</f>
        <v>4</v>
      </c>
      <c r="D27" s="89">
        <f>DSPARAISO!D15</f>
        <v>4</v>
      </c>
      <c r="E27" s="89">
        <f>PARAISO!D15</f>
        <v>3</v>
      </c>
      <c r="F27" s="89">
        <v>4</v>
      </c>
      <c r="G27" s="89">
        <f>FLORES!D15</f>
        <v>3</v>
      </c>
      <c r="H27" s="89">
        <f>ANTONIO!D15</f>
        <v>2</v>
      </c>
      <c r="I27" s="89">
        <f>'GUARENAS C'!D15</f>
        <v>2</v>
      </c>
      <c r="J27" s="89">
        <f>CCCT!D15</f>
        <v>3</v>
      </c>
      <c r="K27" s="89">
        <f>'GUARENAS 27'!D15</f>
        <v>2</v>
      </c>
      <c r="L27" s="89">
        <f>'GUATIRE C'!D15</f>
        <v>2</v>
      </c>
      <c r="M27" s="89">
        <f>'GUATIRE P'!D15</f>
        <v>3</v>
      </c>
      <c r="N27" s="89">
        <f>'GUATIRE R'!D15</f>
        <v>2</v>
      </c>
      <c r="O27" s="89">
        <f>CAUCAGUA!D15</f>
        <v>3</v>
      </c>
      <c r="P27" s="89">
        <f>HIGUEROTE!D15</f>
        <v>2</v>
      </c>
      <c r="Q27" s="89">
        <f>'S MARTIN'!D15</f>
        <v>2</v>
      </c>
      <c r="R27" s="89">
        <f>'NUEVO C'!D15</f>
        <v>2</v>
      </c>
      <c r="S27" s="89">
        <f>DSCASTELLANA!D15</f>
        <v>4</v>
      </c>
      <c r="T27" s="90">
        <f>SUM(C27:Q27)</f>
        <v>41</v>
      </c>
    </row>
    <row r="28" spans="1:20" ht="15" thickBot="1" x14ac:dyDescent="0.35">
      <c r="A28" s="207"/>
      <c r="B28" s="98" t="s">
        <v>86</v>
      </c>
      <c r="C28" s="89">
        <f>BERNARDINO!E15</f>
        <v>4</v>
      </c>
      <c r="D28" s="89">
        <f>DSPARAISO!E15</f>
        <v>4</v>
      </c>
      <c r="E28" s="89">
        <f>PARAISO!E15</f>
        <v>3</v>
      </c>
      <c r="F28" s="89">
        <v>4</v>
      </c>
      <c r="G28" s="89">
        <f>FLORES!E15</f>
        <v>3</v>
      </c>
      <c r="H28" s="89">
        <f>ANTONIO!E15</f>
        <v>2</v>
      </c>
      <c r="I28" s="89">
        <f>'GUARENAS C'!E15</f>
        <v>2</v>
      </c>
      <c r="J28" s="89">
        <f>CCCT!E15</f>
        <v>3</v>
      </c>
      <c r="K28" s="89">
        <f>'GUARENAS 27'!E15</f>
        <v>2</v>
      </c>
      <c r="L28" s="89">
        <f>'GUATIRE C'!E15</f>
        <v>2</v>
      </c>
      <c r="M28" s="89">
        <f>'GUATIRE P'!E15</f>
        <v>3</v>
      </c>
      <c r="N28" s="89">
        <f>'GUATIRE R'!E15</f>
        <v>2</v>
      </c>
      <c r="O28" s="89">
        <f>CAUCAGUA!E15</f>
        <v>3</v>
      </c>
      <c r="P28" s="89">
        <f>HIGUEROTE!E15</f>
        <v>2</v>
      </c>
      <c r="Q28" s="89">
        <f>'S MARTIN'!E15</f>
        <v>2</v>
      </c>
      <c r="R28" s="89">
        <f>'NUEVO C'!E15</f>
        <v>2</v>
      </c>
      <c r="S28" s="89">
        <f>DSCASTELLANA!E15</f>
        <v>4</v>
      </c>
      <c r="T28" s="90">
        <f>SUM(C28:Q28)</f>
        <v>41</v>
      </c>
    </row>
    <row r="29" spans="1:20" ht="15" thickBot="1" x14ac:dyDescent="0.35">
      <c r="A29" s="207"/>
      <c r="B29" s="98" t="s">
        <v>87</v>
      </c>
      <c r="C29" s="89">
        <f>BERNARDINO!F15</f>
        <v>4</v>
      </c>
      <c r="D29" s="89">
        <f>DSPARAISO!F15</f>
        <v>4</v>
      </c>
      <c r="E29" s="89">
        <f>PARAISO!E15</f>
        <v>3</v>
      </c>
      <c r="F29" s="89">
        <v>4</v>
      </c>
      <c r="G29" s="89">
        <f>FLORES!F15</f>
        <v>3</v>
      </c>
      <c r="H29" s="89">
        <f>ANTONIO!F15</f>
        <v>2</v>
      </c>
      <c r="I29" s="89">
        <f>'GUARENAS C'!E15</f>
        <v>2</v>
      </c>
      <c r="J29" s="89">
        <f>CCCT!F15</f>
        <v>3</v>
      </c>
      <c r="K29" s="89">
        <f>'GUARENAS 27'!F15</f>
        <v>2</v>
      </c>
      <c r="L29" s="89">
        <f>'GUATIRE C'!F15</f>
        <v>2</v>
      </c>
      <c r="M29" s="89">
        <f>'GUATIRE P'!F15</f>
        <v>3</v>
      </c>
      <c r="N29" s="89">
        <f>'GUATIRE R'!F15</f>
        <v>2</v>
      </c>
      <c r="O29" s="89">
        <f>CAUCAGUA!F15</f>
        <v>3</v>
      </c>
      <c r="P29" s="89">
        <f>HIGUEROTE!F15</f>
        <v>2</v>
      </c>
      <c r="Q29" s="89">
        <f>'S MARTIN'!F15</f>
        <v>2</v>
      </c>
      <c r="R29" s="89">
        <f>'NUEVO C'!F15</f>
        <v>2</v>
      </c>
      <c r="S29" s="89">
        <f>DSCASTELLANA!F15</f>
        <v>4</v>
      </c>
      <c r="T29" s="90">
        <f>SUM(C29:Q29)</f>
        <v>41</v>
      </c>
    </row>
    <row r="30" spans="1:20" ht="15" thickBot="1" x14ac:dyDescent="0.35">
      <c r="A30" s="207"/>
      <c r="B30" s="99" t="s">
        <v>88</v>
      </c>
      <c r="C30" s="91">
        <f>+C29/C28</f>
        <v>1</v>
      </c>
      <c r="D30" s="91">
        <f t="shared" ref="D30:T30" si="7">+D29/D28</f>
        <v>1</v>
      </c>
      <c r="E30" s="91">
        <f>+E29/E28</f>
        <v>1</v>
      </c>
      <c r="F30" s="91">
        <f t="shared" si="7"/>
        <v>1</v>
      </c>
      <c r="G30" s="91">
        <f t="shared" si="7"/>
        <v>1</v>
      </c>
      <c r="H30" s="91">
        <f t="shared" si="7"/>
        <v>1</v>
      </c>
      <c r="I30" s="91">
        <f t="shared" si="7"/>
        <v>1</v>
      </c>
      <c r="J30" s="91">
        <f t="shared" si="7"/>
        <v>1</v>
      </c>
      <c r="K30" s="91">
        <f t="shared" si="7"/>
        <v>1</v>
      </c>
      <c r="L30" s="91">
        <f t="shared" si="7"/>
        <v>1</v>
      </c>
      <c r="M30" s="91">
        <f t="shared" si="7"/>
        <v>1</v>
      </c>
      <c r="N30" s="91">
        <f t="shared" si="7"/>
        <v>1</v>
      </c>
      <c r="O30" s="91">
        <f t="shared" si="7"/>
        <v>1</v>
      </c>
      <c r="P30" s="91">
        <f t="shared" si="7"/>
        <v>1</v>
      </c>
      <c r="Q30" s="91">
        <f t="shared" si="7"/>
        <v>1</v>
      </c>
      <c r="R30" s="91">
        <f>+R29/R28</f>
        <v>1</v>
      </c>
      <c r="S30" s="91">
        <f>+S29/S28</f>
        <v>1</v>
      </c>
      <c r="T30" s="92">
        <f t="shared" si="7"/>
        <v>1</v>
      </c>
    </row>
    <row r="31" spans="1:20" ht="15" thickBot="1" x14ac:dyDescent="0.35">
      <c r="A31" s="206" t="s">
        <v>19</v>
      </c>
      <c r="B31" s="98" t="s">
        <v>85</v>
      </c>
      <c r="C31" s="89">
        <f>BERNARDINO!D23</f>
        <v>1</v>
      </c>
      <c r="D31" s="89">
        <f>DSPARAISO!D23</f>
        <v>1</v>
      </c>
      <c r="E31" s="89">
        <f>PARAISO!D23</f>
        <v>1</v>
      </c>
      <c r="F31" s="89">
        <v>1</v>
      </c>
      <c r="G31" s="89">
        <f>FLORES!D23</f>
        <v>1</v>
      </c>
      <c r="H31" s="89">
        <f>ANTONIO!D23</f>
        <v>1</v>
      </c>
      <c r="I31" s="89">
        <f>'GUARENAS C'!D23</f>
        <v>1</v>
      </c>
      <c r="J31" s="89">
        <f>CCCT!D23</f>
        <v>1</v>
      </c>
      <c r="K31" s="89">
        <f>'GUARENAS 27'!D23</f>
        <v>1</v>
      </c>
      <c r="L31" s="89">
        <f>'GUATIRE C'!D23</f>
        <v>1</v>
      </c>
      <c r="M31" s="89">
        <f>'GUATIRE P'!D25</f>
        <v>1</v>
      </c>
      <c r="N31" s="89">
        <f>'GUATIRE R'!D23</f>
        <v>1</v>
      </c>
      <c r="O31" s="89">
        <f>CAUCAGUA!D23</f>
        <v>1</v>
      </c>
      <c r="P31" s="89">
        <f>HIGUEROTE!D23</f>
        <v>1</v>
      </c>
      <c r="Q31" s="89">
        <f>'S MARTIN'!D24</f>
        <v>1</v>
      </c>
      <c r="R31" s="89">
        <f>'NUEVO C'!D23</f>
        <v>1</v>
      </c>
      <c r="S31" s="89">
        <f>DSCASTELLANA!D23</f>
        <v>1</v>
      </c>
      <c r="T31" s="90">
        <f>SUM(C31:Q31)</f>
        <v>15</v>
      </c>
    </row>
    <row r="32" spans="1:20" ht="15" thickBot="1" x14ac:dyDescent="0.35">
      <c r="A32" s="206"/>
      <c r="B32" s="98" t="s">
        <v>86</v>
      </c>
      <c r="C32" s="89">
        <f>BERNARDINO!E23</f>
        <v>1</v>
      </c>
      <c r="D32" s="89">
        <f>DSPARAISO!E23</f>
        <v>1</v>
      </c>
      <c r="E32" s="89">
        <f>PARAISO!E23</f>
        <v>1</v>
      </c>
      <c r="F32" s="89">
        <v>1</v>
      </c>
      <c r="G32" s="89">
        <f>FLORES!E23</f>
        <v>1</v>
      </c>
      <c r="H32" s="89">
        <f>ANTONIO!E23</f>
        <v>1</v>
      </c>
      <c r="I32" s="89">
        <f>'GUARENAS C'!E23</f>
        <v>1</v>
      </c>
      <c r="J32" s="89">
        <f>CCCT!E23</f>
        <v>1</v>
      </c>
      <c r="K32" s="89">
        <f>'GUARENAS 27'!E23</f>
        <v>1</v>
      </c>
      <c r="L32" s="89">
        <f>'GUATIRE C'!E23</f>
        <v>1</v>
      </c>
      <c r="M32" s="89">
        <f>'GUATIRE P'!E25</f>
        <v>1</v>
      </c>
      <c r="N32" s="89">
        <f>'GUATIRE R'!E23</f>
        <v>1</v>
      </c>
      <c r="O32" s="89">
        <f>CAUCAGUA!E23</f>
        <v>1</v>
      </c>
      <c r="P32" s="89">
        <f>HIGUEROTE!E23</f>
        <v>1</v>
      </c>
      <c r="Q32" s="89">
        <f>'S MARTIN'!E24</f>
        <v>1</v>
      </c>
      <c r="R32" s="89">
        <f>'NUEVO C'!E23</f>
        <v>1</v>
      </c>
      <c r="S32" s="89">
        <f>DSCASTELLANA!E23</f>
        <v>1</v>
      </c>
      <c r="T32" s="90">
        <f>SUM(C32:Q32)</f>
        <v>15</v>
      </c>
    </row>
    <row r="33" spans="1:20" ht="15" thickBot="1" x14ac:dyDescent="0.35">
      <c r="A33" s="206"/>
      <c r="B33" s="98" t="s">
        <v>87</v>
      </c>
      <c r="C33" s="89">
        <f>BERNARDINO!F23</f>
        <v>1</v>
      </c>
      <c r="D33" s="89">
        <f>DSPARAISO!F23</f>
        <v>1</v>
      </c>
      <c r="E33" s="89">
        <f>PARAISO!E23</f>
        <v>1</v>
      </c>
      <c r="F33" s="89">
        <v>1</v>
      </c>
      <c r="G33" s="89">
        <f>FLORES!F23</f>
        <v>1</v>
      </c>
      <c r="H33" s="89">
        <f>ANTONIO!F23</f>
        <v>1</v>
      </c>
      <c r="I33" s="89">
        <f>'GUARENAS C'!E23</f>
        <v>1</v>
      </c>
      <c r="J33" s="89">
        <f>CCCT!F23</f>
        <v>1</v>
      </c>
      <c r="K33" s="89">
        <f>'GUARENAS 27'!F23</f>
        <v>1</v>
      </c>
      <c r="L33" s="89">
        <f>'GUATIRE C'!F23</f>
        <v>1</v>
      </c>
      <c r="M33" s="89">
        <f>'GUATIRE P'!F25</f>
        <v>1</v>
      </c>
      <c r="N33" s="89">
        <f>'GUATIRE R'!F23</f>
        <v>1</v>
      </c>
      <c r="O33" s="89">
        <f>CAUCAGUA!F23</f>
        <v>1</v>
      </c>
      <c r="P33" s="89">
        <f>HIGUEROTE!F23</f>
        <v>1</v>
      </c>
      <c r="Q33" s="89">
        <f>'S MARTIN'!F24</f>
        <v>1</v>
      </c>
      <c r="R33" s="89">
        <f>'NUEVO C'!F23</f>
        <v>1</v>
      </c>
      <c r="S33" s="89">
        <f>DSCASTELLANA!F23</f>
        <v>1</v>
      </c>
      <c r="T33" s="90">
        <f>SUM(C33:Q33)</f>
        <v>15</v>
      </c>
    </row>
    <row r="34" spans="1:20" ht="15" thickBot="1" x14ac:dyDescent="0.35">
      <c r="A34" s="206"/>
      <c r="B34" s="99" t="s">
        <v>88</v>
      </c>
      <c r="C34" s="91">
        <f t="shared" ref="C34:E34" si="8">+C33/C32</f>
        <v>1</v>
      </c>
      <c r="D34" s="91">
        <f t="shared" si="8"/>
        <v>1</v>
      </c>
      <c r="E34" s="91">
        <f t="shared" si="8"/>
        <v>1</v>
      </c>
      <c r="F34" s="91">
        <f>+F33/F32</f>
        <v>1</v>
      </c>
      <c r="G34" s="91">
        <f>+G33/G32</f>
        <v>1</v>
      </c>
      <c r="H34" s="91">
        <f t="shared" ref="H34:S34" si="9">+H33/H32</f>
        <v>1</v>
      </c>
      <c r="I34" s="91">
        <f t="shared" si="9"/>
        <v>1</v>
      </c>
      <c r="J34" s="91">
        <f>+J33/J32</f>
        <v>1</v>
      </c>
      <c r="K34" s="91">
        <f t="shared" si="9"/>
        <v>1</v>
      </c>
      <c r="L34" s="91">
        <f t="shared" si="9"/>
        <v>1</v>
      </c>
      <c r="M34" s="91">
        <f t="shared" si="9"/>
        <v>1</v>
      </c>
      <c r="N34" s="91">
        <f t="shared" si="9"/>
        <v>1</v>
      </c>
      <c r="O34" s="91">
        <f t="shared" si="9"/>
        <v>1</v>
      </c>
      <c r="P34" s="91">
        <f t="shared" si="9"/>
        <v>1</v>
      </c>
      <c r="Q34" s="91">
        <f t="shared" si="9"/>
        <v>1</v>
      </c>
      <c r="R34" s="91">
        <f t="shared" si="9"/>
        <v>1</v>
      </c>
      <c r="S34" s="91">
        <f t="shared" si="9"/>
        <v>1</v>
      </c>
      <c r="T34" s="92">
        <f>+T33/T32</f>
        <v>1</v>
      </c>
    </row>
    <row r="35" spans="1:20" ht="15" thickBot="1" x14ac:dyDescent="0.35">
      <c r="A35" s="206" t="s">
        <v>18</v>
      </c>
      <c r="B35" s="98" t="s">
        <v>85</v>
      </c>
      <c r="C35" s="89">
        <f>BERNARDINO!D24</f>
        <v>1</v>
      </c>
      <c r="D35" s="89">
        <f>DSPARAISO!D24</f>
        <v>1</v>
      </c>
      <c r="E35" s="89">
        <f>PARAISO!D24</f>
        <v>1</v>
      </c>
      <c r="F35" s="89">
        <v>1</v>
      </c>
      <c r="G35" s="89">
        <f>FLORES!D24</f>
        <v>1</v>
      </c>
      <c r="H35" s="89">
        <f>ANTONIO!D24</f>
        <v>1</v>
      </c>
      <c r="I35" s="89">
        <f>'GUARENAS C'!D24</f>
        <v>1</v>
      </c>
      <c r="J35" s="89">
        <f>CCCT!D24</f>
        <v>1</v>
      </c>
      <c r="K35" s="89">
        <f>'GUARENAS 27'!D24</f>
        <v>1</v>
      </c>
      <c r="L35" s="89">
        <f>'GUATIRE C'!D24</f>
        <v>1</v>
      </c>
      <c r="M35" s="89">
        <f>'GUATIRE P'!D26</f>
        <v>1</v>
      </c>
      <c r="N35" s="89">
        <f>'GUATIRE R'!D24</f>
        <v>1</v>
      </c>
      <c r="O35" s="89">
        <f>CAUCAGUA!D24</f>
        <v>1</v>
      </c>
      <c r="P35" s="89">
        <f>HIGUEROTE!D24</f>
        <v>1</v>
      </c>
      <c r="Q35" s="89">
        <f>'S MARTIN'!D25</f>
        <v>1</v>
      </c>
      <c r="R35" s="89">
        <f>'NUEVO C'!D24</f>
        <v>1</v>
      </c>
      <c r="S35" s="89">
        <f>DSCASTELLANA!D24</f>
        <v>1</v>
      </c>
      <c r="T35" s="90">
        <f>SUM(C35:Q35)</f>
        <v>15</v>
      </c>
    </row>
    <row r="36" spans="1:20" ht="15" thickBot="1" x14ac:dyDescent="0.35">
      <c r="A36" s="206"/>
      <c r="B36" s="98" t="s">
        <v>86</v>
      </c>
      <c r="C36" s="89">
        <f>BERNARDINO!E24</f>
        <v>1</v>
      </c>
      <c r="D36" s="89">
        <f>DSPARAISO!E24</f>
        <v>1</v>
      </c>
      <c r="E36" s="89">
        <f>PARAISO!E24</f>
        <v>1</v>
      </c>
      <c r="F36" s="89">
        <v>1</v>
      </c>
      <c r="G36" s="89">
        <f>FLORES!E24</f>
        <v>1</v>
      </c>
      <c r="H36" s="89">
        <f>ANTONIO!E24</f>
        <v>1</v>
      </c>
      <c r="I36" s="89">
        <f>'GUARENAS C'!E24</f>
        <v>1</v>
      </c>
      <c r="J36" s="89">
        <f>CCCT!E24</f>
        <v>1</v>
      </c>
      <c r="K36" s="89">
        <f>'GUARENAS 27'!E24</f>
        <v>1</v>
      </c>
      <c r="L36" s="89">
        <f>'GUATIRE C'!E24</f>
        <v>1</v>
      </c>
      <c r="M36" s="89">
        <f>'GUATIRE P'!E26</f>
        <v>1</v>
      </c>
      <c r="N36" s="89">
        <f>'GUATIRE R'!E24</f>
        <v>1</v>
      </c>
      <c r="O36" s="89">
        <f>CAUCAGUA!E24</f>
        <v>1</v>
      </c>
      <c r="P36" s="89">
        <f>HIGUEROTE!E24</f>
        <v>1</v>
      </c>
      <c r="Q36" s="89">
        <f>'S MARTIN'!E25</f>
        <v>1</v>
      </c>
      <c r="R36" s="89">
        <f>'NUEVO C'!E24</f>
        <v>1</v>
      </c>
      <c r="S36" s="89">
        <f>DSCASTELLANA!E24</f>
        <v>1</v>
      </c>
      <c r="T36" s="90">
        <f>SUM(C36:Q36)</f>
        <v>15</v>
      </c>
    </row>
    <row r="37" spans="1:20" ht="15" thickBot="1" x14ac:dyDescent="0.35">
      <c r="A37" s="206"/>
      <c r="B37" s="98" t="s">
        <v>87</v>
      </c>
      <c r="C37" s="89">
        <f>BERNARDINO!F24</f>
        <v>1</v>
      </c>
      <c r="D37" s="89">
        <f>DSPARAISO!F24</f>
        <v>1</v>
      </c>
      <c r="E37" s="89">
        <f>PARAISO!E24</f>
        <v>1</v>
      </c>
      <c r="F37" s="89">
        <v>1</v>
      </c>
      <c r="G37" s="89">
        <f>FLORES!F24</f>
        <v>1</v>
      </c>
      <c r="H37" s="89">
        <f>ANTONIO!F24</f>
        <v>1</v>
      </c>
      <c r="I37" s="89">
        <f>'GUARENAS C'!E24</f>
        <v>1</v>
      </c>
      <c r="J37" s="89">
        <f>CCCT!F24</f>
        <v>1</v>
      </c>
      <c r="K37" s="89">
        <f>'GUARENAS 27'!F24</f>
        <v>1</v>
      </c>
      <c r="L37" s="89">
        <f>'GUATIRE C'!F24</f>
        <v>1</v>
      </c>
      <c r="M37" s="89">
        <f>'GUATIRE P'!F26</f>
        <v>1</v>
      </c>
      <c r="N37" s="89">
        <f>'GUATIRE R'!F24</f>
        <v>1</v>
      </c>
      <c r="O37" s="89">
        <f>CAUCAGUA!F24</f>
        <v>1</v>
      </c>
      <c r="P37" s="89">
        <f>HIGUEROTE!F24</f>
        <v>1</v>
      </c>
      <c r="Q37" s="89">
        <f>'S MARTIN'!F25</f>
        <v>1</v>
      </c>
      <c r="R37" s="89">
        <f>'NUEVO C'!F24</f>
        <v>1</v>
      </c>
      <c r="S37" s="89">
        <f>DSCASTELLANA!F24</f>
        <v>1</v>
      </c>
      <c r="T37" s="90">
        <f>SUM(C37:Q37)</f>
        <v>15</v>
      </c>
    </row>
    <row r="38" spans="1:20" ht="15" thickBot="1" x14ac:dyDescent="0.35">
      <c r="A38" s="206"/>
      <c r="B38" s="99" t="s">
        <v>88</v>
      </c>
      <c r="C38" s="91">
        <f>+C37/C36</f>
        <v>1</v>
      </c>
      <c r="D38" s="91">
        <f t="shared" ref="D38:T38" si="10">+D37/D36</f>
        <v>1</v>
      </c>
      <c r="E38" s="91">
        <f t="shared" si="10"/>
        <v>1</v>
      </c>
      <c r="F38" s="91">
        <f t="shared" si="10"/>
        <v>1</v>
      </c>
      <c r="G38" s="91">
        <f t="shared" si="10"/>
        <v>1</v>
      </c>
      <c r="H38" s="91">
        <f t="shared" si="10"/>
        <v>1</v>
      </c>
      <c r="I38" s="91">
        <f t="shared" si="10"/>
        <v>1</v>
      </c>
      <c r="J38" s="91">
        <f t="shared" si="10"/>
        <v>1</v>
      </c>
      <c r="K38" s="91">
        <f t="shared" si="10"/>
        <v>1</v>
      </c>
      <c r="L38" s="91">
        <f t="shared" si="10"/>
        <v>1</v>
      </c>
      <c r="M38" s="91">
        <f t="shared" si="10"/>
        <v>1</v>
      </c>
      <c r="N38" s="91">
        <f t="shared" si="10"/>
        <v>1</v>
      </c>
      <c r="O38" s="91">
        <f t="shared" si="10"/>
        <v>1</v>
      </c>
      <c r="P38" s="91">
        <f t="shared" si="10"/>
        <v>1</v>
      </c>
      <c r="Q38" s="91">
        <f t="shared" si="10"/>
        <v>1</v>
      </c>
      <c r="R38" s="91">
        <f t="shared" si="10"/>
        <v>1</v>
      </c>
      <c r="S38" s="91">
        <f>+S37/S36</f>
        <v>1</v>
      </c>
      <c r="T38" s="92">
        <f t="shared" si="10"/>
        <v>1</v>
      </c>
    </row>
    <row r="39" spans="1:20" ht="15" thickBot="1" x14ac:dyDescent="0.35">
      <c r="A39" s="206" t="s">
        <v>8</v>
      </c>
      <c r="B39" s="98" t="s">
        <v>85</v>
      </c>
      <c r="C39" s="89">
        <f>BERNARDINO!D25</f>
        <v>4</v>
      </c>
      <c r="D39" s="89">
        <f>DSPARAISO!D25</f>
        <v>4</v>
      </c>
      <c r="E39" s="89">
        <f>PARAISO!D25</f>
        <v>3</v>
      </c>
      <c r="F39" s="89">
        <v>4</v>
      </c>
      <c r="G39" s="89">
        <f>FLORES!D25</f>
        <v>3</v>
      </c>
      <c r="H39" s="89">
        <f>ANTONIO!D25</f>
        <v>2</v>
      </c>
      <c r="I39" s="89">
        <f>'GUARENAS C'!D25</f>
        <v>3</v>
      </c>
      <c r="J39" s="89">
        <f>CCCT!D25</f>
        <v>3</v>
      </c>
      <c r="K39" s="89">
        <f>'GUARENAS 27'!D25</f>
        <v>2</v>
      </c>
      <c r="L39" s="89">
        <f>'GUATIRE C'!D25</f>
        <v>3</v>
      </c>
      <c r="M39" s="89">
        <f>'GUATIRE P'!D27</f>
        <v>3</v>
      </c>
      <c r="N39" s="89">
        <f>'GUATIRE R'!D25</f>
        <v>2</v>
      </c>
      <c r="O39" s="89">
        <f>CAUCAGUA!D25</f>
        <v>3</v>
      </c>
      <c r="P39" s="89">
        <f>HIGUEROTE!D25</f>
        <v>2</v>
      </c>
      <c r="Q39" s="89">
        <f>'S MARTIN'!D26</f>
        <v>2</v>
      </c>
      <c r="R39" s="89">
        <f>'NUEVO C'!D25</f>
        <v>2</v>
      </c>
      <c r="S39" s="89">
        <f>DSCASTELLANA!D25</f>
        <v>3</v>
      </c>
      <c r="T39" s="90">
        <f>SUM(C39:S39)</f>
        <v>48</v>
      </c>
    </row>
    <row r="40" spans="1:20" ht="15" thickBot="1" x14ac:dyDescent="0.35">
      <c r="A40" s="206"/>
      <c r="B40" s="98" t="s">
        <v>86</v>
      </c>
      <c r="C40" s="89">
        <f>BERNARDINO!E25</f>
        <v>4</v>
      </c>
      <c r="D40" s="89">
        <f>DSPARAISO!E25</f>
        <v>4</v>
      </c>
      <c r="E40" s="89">
        <f>PARAISO!E25</f>
        <v>3</v>
      </c>
      <c r="F40" s="89">
        <v>4</v>
      </c>
      <c r="G40" s="89">
        <f>FLORES!E25</f>
        <v>3</v>
      </c>
      <c r="H40" s="89">
        <f>ANTONIO!E25</f>
        <v>2</v>
      </c>
      <c r="I40" s="89">
        <f>'GUARENAS C'!E25</f>
        <v>3</v>
      </c>
      <c r="J40" s="89">
        <f>CCCT!E25</f>
        <v>3</v>
      </c>
      <c r="K40" s="89">
        <f>'GUARENAS 27'!E25</f>
        <v>2</v>
      </c>
      <c r="L40" s="89">
        <f>'GUATIRE C'!E25</f>
        <v>3</v>
      </c>
      <c r="M40" s="89">
        <f>'GUATIRE P'!E27</f>
        <v>3</v>
      </c>
      <c r="N40" s="89">
        <f>'GUATIRE R'!E25</f>
        <v>2</v>
      </c>
      <c r="O40" s="89">
        <f>CAUCAGUA!E25</f>
        <v>3</v>
      </c>
      <c r="P40" s="89">
        <f>HIGUEROTE!E25</f>
        <v>2</v>
      </c>
      <c r="Q40" s="89">
        <f>'S MARTIN'!E26</f>
        <v>2</v>
      </c>
      <c r="R40" s="89">
        <f>'NUEVO C'!E25</f>
        <v>2</v>
      </c>
      <c r="S40" s="89">
        <f>DSCASTELLANA!E25</f>
        <v>3</v>
      </c>
      <c r="T40" s="90">
        <f>SUM(C40:S40)</f>
        <v>48</v>
      </c>
    </row>
    <row r="41" spans="1:20" ht="15" thickBot="1" x14ac:dyDescent="0.35">
      <c r="A41" s="206"/>
      <c r="B41" s="98" t="s">
        <v>87</v>
      </c>
      <c r="C41" s="89">
        <f>BERNARDINO!F25</f>
        <v>4</v>
      </c>
      <c r="D41" s="89">
        <f>DSPARAISO!F25</f>
        <v>4</v>
      </c>
      <c r="E41" s="89">
        <f>PARAISO!E25</f>
        <v>3</v>
      </c>
      <c r="F41" s="89">
        <v>4</v>
      </c>
      <c r="G41" s="89">
        <f>FLORES!F25</f>
        <v>3</v>
      </c>
      <c r="H41" s="89">
        <f>ANTONIO!F25</f>
        <v>2</v>
      </c>
      <c r="I41" s="89">
        <v>3</v>
      </c>
      <c r="J41" s="89">
        <f>CCCT!F25</f>
        <v>3</v>
      </c>
      <c r="K41" s="89">
        <f>'GUARENAS 27'!F25</f>
        <v>2</v>
      </c>
      <c r="L41" s="89">
        <f>'GUATIRE C'!F25</f>
        <v>3</v>
      </c>
      <c r="M41" s="89">
        <f>'GUATIRE P'!F27</f>
        <v>3</v>
      </c>
      <c r="N41" s="89">
        <f>'GUATIRE R'!F25</f>
        <v>2</v>
      </c>
      <c r="O41" s="89">
        <f>CAUCAGUA!F25</f>
        <v>3</v>
      </c>
      <c r="P41" s="89">
        <f>HIGUEROTE!F25</f>
        <v>2</v>
      </c>
      <c r="Q41" s="89">
        <f>'S MARTIN'!F26</f>
        <v>2</v>
      </c>
      <c r="R41" s="89">
        <f>'NUEVO C'!F25</f>
        <v>2</v>
      </c>
      <c r="S41" s="89">
        <f>DSCASTELLANA!F25</f>
        <v>3</v>
      </c>
      <c r="T41" s="90">
        <f>SUM(C41:S41)</f>
        <v>48</v>
      </c>
    </row>
    <row r="42" spans="1:20" ht="15" thickBot="1" x14ac:dyDescent="0.35">
      <c r="A42" s="206"/>
      <c r="B42" s="99" t="s">
        <v>88</v>
      </c>
      <c r="C42" s="91">
        <f>+C41/C40</f>
        <v>1</v>
      </c>
      <c r="D42" s="91">
        <f t="shared" ref="D42:T42" si="11">+D41/D40</f>
        <v>1</v>
      </c>
      <c r="E42" s="91">
        <f t="shared" si="11"/>
        <v>1</v>
      </c>
      <c r="F42" s="91">
        <f t="shared" si="11"/>
        <v>1</v>
      </c>
      <c r="G42" s="91">
        <f t="shared" si="11"/>
        <v>1</v>
      </c>
      <c r="H42" s="91">
        <f>+H41/H40</f>
        <v>1</v>
      </c>
      <c r="I42" s="91">
        <f t="shared" si="11"/>
        <v>1</v>
      </c>
      <c r="J42" s="91">
        <f t="shared" si="11"/>
        <v>1</v>
      </c>
      <c r="K42" s="91">
        <f t="shared" si="11"/>
        <v>1</v>
      </c>
      <c r="L42" s="91">
        <f t="shared" si="11"/>
        <v>1</v>
      </c>
      <c r="M42" s="91">
        <f t="shared" si="11"/>
        <v>1</v>
      </c>
      <c r="N42" s="91">
        <f t="shared" si="11"/>
        <v>1</v>
      </c>
      <c r="O42" s="91">
        <f t="shared" si="11"/>
        <v>1</v>
      </c>
      <c r="P42" s="91">
        <f t="shared" si="11"/>
        <v>1</v>
      </c>
      <c r="Q42" s="91">
        <f>+Q41/Q40</f>
        <v>1</v>
      </c>
      <c r="R42" s="91">
        <f t="shared" si="11"/>
        <v>1</v>
      </c>
      <c r="S42" s="91">
        <f>+S41/S40</f>
        <v>1</v>
      </c>
      <c r="T42" s="94">
        <f t="shared" si="11"/>
        <v>1</v>
      </c>
    </row>
    <row r="43" spans="1:20" ht="15" thickBot="1" x14ac:dyDescent="0.35">
      <c r="A43" s="210" t="s">
        <v>103</v>
      </c>
      <c r="B43" s="98" t="s">
        <v>85</v>
      </c>
      <c r="C43" s="89">
        <f>BERNARDINO!D26</f>
        <v>0</v>
      </c>
      <c r="D43" s="89">
        <f>DSPARAISO!D26</f>
        <v>0</v>
      </c>
      <c r="E43" s="89">
        <f>PARAISO!D26</f>
        <v>0</v>
      </c>
      <c r="F43" s="89">
        <v>1</v>
      </c>
      <c r="G43" s="89">
        <f>FLORES!D26</f>
        <v>0</v>
      </c>
      <c r="H43" s="89">
        <f>ANTONIO!D26</f>
        <v>0</v>
      </c>
      <c r="I43" s="89">
        <f>'GUARENAS C'!D26</f>
        <v>0</v>
      </c>
      <c r="J43" s="89">
        <f>CCCT!D26</f>
        <v>0</v>
      </c>
      <c r="K43" s="89">
        <f>'GUARENAS 27'!D26</f>
        <v>0</v>
      </c>
      <c r="L43" s="89">
        <f>'GUATIRE C'!D26</f>
        <v>0</v>
      </c>
      <c r="M43" s="89">
        <f>'GUATIRE P'!D28</f>
        <v>0</v>
      </c>
      <c r="N43" s="89">
        <f>'GUATIRE R'!D26</f>
        <v>0</v>
      </c>
      <c r="O43" s="89">
        <f>CAUCAGUA!D26</f>
        <v>0</v>
      </c>
      <c r="P43" s="89">
        <f>HIGUEROTE!D26</f>
        <v>0</v>
      </c>
      <c r="Q43" s="89">
        <f>'S MARTIN'!D27</f>
        <v>0</v>
      </c>
      <c r="R43" s="89">
        <f>'NUEVO C'!D26</f>
        <v>0</v>
      </c>
      <c r="S43" s="89">
        <f>DSCASTELLANA!D26</f>
        <v>0</v>
      </c>
      <c r="T43" s="90">
        <f>SUM(C43:Q43)</f>
        <v>1</v>
      </c>
    </row>
    <row r="44" spans="1:20" ht="15" thickBot="1" x14ac:dyDescent="0.35">
      <c r="A44" s="210"/>
      <c r="B44" s="98" t="s">
        <v>86</v>
      </c>
      <c r="C44" s="89">
        <f>BERNARDINO!E26</f>
        <v>1</v>
      </c>
      <c r="D44" s="89">
        <f>DSPARAISO!E26</f>
        <v>1</v>
      </c>
      <c r="E44" s="89">
        <f>PARAISO!E26</f>
        <v>1</v>
      </c>
      <c r="F44" s="89">
        <v>1</v>
      </c>
      <c r="G44" s="89">
        <f>FLORES!E26</f>
        <v>2</v>
      </c>
      <c r="H44" s="89">
        <f>ANTONIO!E26</f>
        <v>1</v>
      </c>
      <c r="I44" s="89">
        <f>'GUARENAS C'!E26</f>
        <v>1</v>
      </c>
      <c r="J44" s="89">
        <f>CCCT!E26</f>
        <v>1</v>
      </c>
      <c r="K44" s="89">
        <f>'GUARENAS 27'!E26</f>
        <v>1</v>
      </c>
      <c r="L44" s="89">
        <f>'GUATIRE C'!E26</f>
        <v>1</v>
      </c>
      <c r="M44" s="89">
        <f>'GUATIRE P'!E28</f>
        <v>1</v>
      </c>
      <c r="N44" s="89">
        <f>'GUATIRE R'!E26</f>
        <v>1</v>
      </c>
      <c r="O44" s="89">
        <f>CAUCAGUA!E26</f>
        <v>1</v>
      </c>
      <c r="P44" s="89">
        <f>HIGUEROTE!E26</f>
        <v>1</v>
      </c>
      <c r="Q44" s="89">
        <f>'S MARTIN'!E27</f>
        <v>1</v>
      </c>
      <c r="R44" s="89">
        <f>'NUEVO C'!E26</f>
        <v>1</v>
      </c>
      <c r="S44" s="89">
        <f>DSCASTELLANA!E26</f>
        <v>1</v>
      </c>
      <c r="T44" s="90">
        <f>SUM(C44:Q44)</f>
        <v>16</v>
      </c>
    </row>
    <row r="45" spans="1:20" ht="15" thickBot="1" x14ac:dyDescent="0.35">
      <c r="A45" s="210"/>
      <c r="B45" s="98" t="s">
        <v>87</v>
      </c>
      <c r="C45" s="89">
        <f>BERNARDINO!F26</f>
        <v>1</v>
      </c>
      <c r="D45" s="89">
        <f>DSPARAISO!F26</f>
        <v>1</v>
      </c>
      <c r="E45" s="89">
        <f>PARAISO!E26</f>
        <v>1</v>
      </c>
      <c r="F45" s="89">
        <v>0</v>
      </c>
      <c r="G45" s="89">
        <f>FLORES!F26</f>
        <v>2</v>
      </c>
      <c r="H45" s="89">
        <f>ANTONIO!F26</f>
        <v>1</v>
      </c>
      <c r="I45" s="89">
        <f>'GUARENAS C'!E26</f>
        <v>1</v>
      </c>
      <c r="J45" s="89">
        <f>CCCT!F26</f>
        <v>1</v>
      </c>
      <c r="K45" s="89">
        <f>'GUARENAS 27'!F26</f>
        <v>1</v>
      </c>
      <c r="L45" s="89">
        <f>'GUATIRE C'!F26</f>
        <v>1</v>
      </c>
      <c r="M45" s="89">
        <f>'GUATIRE P'!F28</f>
        <v>1</v>
      </c>
      <c r="N45" s="89">
        <f>'GUATIRE R'!F26</f>
        <v>1</v>
      </c>
      <c r="O45" s="89">
        <f>CAUCAGUA!F26</f>
        <v>1</v>
      </c>
      <c r="P45" s="89">
        <f>HIGUEROTE!F26</f>
        <v>1</v>
      </c>
      <c r="Q45" s="89">
        <f>'S MARTIN'!F27</f>
        <v>1</v>
      </c>
      <c r="R45" s="89">
        <f>'NUEVO C'!F26</f>
        <v>1</v>
      </c>
      <c r="S45" s="89">
        <f>DSCASTELLANA!F26</f>
        <v>1</v>
      </c>
      <c r="T45" s="90">
        <f>SUM(C45:Q45)</f>
        <v>15</v>
      </c>
    </row>
    <row r="46" spans="1:20" ht="15" thickBot="1" x14ac:dyDescent="0.35">
      <c r="A46" s="210"/>
      <c r="B46" s="99" t="s">
        <v>88</v>
      </c>
      <c r="C46" s="91">
        <f>+C45/C44</f>
        <v>1</v>
      </c>
      <c r="D46" s="91">
        <f t="shared" ref="D46:T46" si="12">+D45/D44</f>
        <v>1</v>
      </c>
      <c r="E46" s="91">
        <f t="shared" si="12"/>
        <v>1</v>
      </c>
      <c r="F46" s="91">
        <f t="shared" si="12"/>
        <v>0</v>
      </c>
      <c r="G46" s="91">
        <f t="shared" si="12"/>
        <v>1</v>
      </c>
      <c r="H46" s="91">
        <f t="shared" si="12"/>
        <v>1</v>
      </c>
      <c r="I46" s="91">
        <f t="shared" si="12"/>
        <v>1</v>
      </c>
      <c r="J46" s="91">
        <f t="shared" si="12"/>
        <v>1</v>
      </c>
      <c r="K46" s="91">
        <f t="shared" si="12"/>
        <v>1</v>
      </c>
      <c r="L46" s="91">
        <f t="shared" si="12"/>
        <v>1</v>
      </c>
      <c r="M46" s="91">
        <f t="shared" si="12"/>
        <v>1</v>
      </c>
      <c r="N46" s="91">
        <f t="shared" si="12"/>
        <v>1</v>
      </c>
      <c r="O46" s="91">
        <f t="shared" si="12"/>
        <v>1</v>
      </c>
      <c r="P46" s="91">
        <f t="shared" si="12"/>
        <v>1</v>
      </c>
      <c r="Q46" s="91">
        <f t="shared" si="12"/>
        <v>1</v>
      </c>
      <c r="R46" s="91">
        <f t="shared" si="12"/>
        <v>1</v>
      </c>
      <c r="S46" s="91">
        <f t="shared" si="12"/>
        <v>1</v>
      </c>
      <c r="T46" s="92">
        <f t="shared" si="12"/>
        <v>0.9375</v>
      </c>
    </row>
    <row r="47" spans="1:20" ht="15" thickBot="1" x14ac:dyDescent="0.35">
      <c r="A47" s="206" t="s">
        <v>89</v>
      </c>
      <c r="B47" s="98" t="s">
        <v>85</v>
      </c>
      <c r="C47" s="89">
        <f>BERNARDINO!D27</f>
        <v>1</v>
      </c>
      <c r="D47" s="89">
        <f>DSPARAISO!D27</f>
        <v>1</v>
      </c>
      <c r="E47" s="89">
        <f>PARAISO!D27</f>
        <v>1</v>
      </c>
      <c r="F47" s="89">
        <v>1</v>
      </c>
      <c r="G47" s="89">
        <f>FLORES!D27</f>
        <v>1</v>
      </c>
      <c r="H47" s="89">
        <f>ANTONIO!D27</f>
        <v>1</v>
      </c>
      <c r="I47" s="89">
        <f>'GUARENAS C'!D27</f>
        <v>1</v>
      </c>
      <c r="J47" s="89">
        <f>CCCT!D27</f>
        <v>1</v>
      </c>
      <c r="K47" s="89">
        <f>'GUARENAS 27'!D27</f>
        <v>1</v>
      </c>
      <c r="L47" s="89">
        <f>'GUATIRE C'!D27</f>
        <v>1</v>
      </c>
      <c r="M47" s="89">
        <f>'GUATIRE P'!D29</f>
        <v>1</v>
      </c>
      <c r="N47" s="89">
        <f>'GUATIRE R'!D27</f>
        <v>1</v>
      </c>
      <c r="O47" s="89">
        <f>CAUCAGUA!D27</f>
        <v>1</v>
      </c>
      <c r="P47" s="89">
        <f>HIGUEROTE!D27</f>
        <v>1</v>
      </c>
      <c r="Q47" s="89">
        <f>'S MARTIN'!D28</f>
        <v>1</v>
      </c>
      <c r="R47" s="89">
        <f>'NUEVO C'!D27</f>
        <v>1</v>
      </c>
      <c r="S47" s="89">
        <f>DSCASTELLANA!D27</f>
        <v>1</v>
      </c>
      <c r="T47" s="95">
        <f>SUM(C47:Q47)</f>
        <v>15</v>
      </c>
    </row>
    <row r="48" spans="1:20" ht="15" thickBot="1" x14ac:dyDescent="0.35">
      <c r="A48" s="206"/>
      <c r="B48" s="98" t="s">
        <v>86</v>
      </c>
      <c r="C48" s="89">
        <f>BERNARDINO!E27</f>
        <v>1</v>
      </c>
      <c r="D48" s="89">
        <f>DSPARAISO!E27</f>
        <v>1</v>
      </c>
      <c r="E48" s="89">
        <f>PARAISO!E27</f>
        <v>1</v>
      </c>
      <c r="F48" s="89">
        <v>1</v>
      </c>
      <c r="G48" s="89">
        <f>FLORES!E27</f>
        <v>1</v>
      </c>
      <c r="H48" s="89">
        <f>ANTONIO!E27</f>
        <v>1</v>
      </c>
      <c r="I48" s="89">
        <f>'GUARENAS C'!E27</f>
        <v>1</v>
      </c>
      <c r="J48" s="89">
        <f>CCCT!E27</f>
        <v>1</v>
      </c>
      <c r="K48" s="89">
        <f>'GUARENAS 27'!E27</f>
        <v>1</v>
      </c>
      <c r="L48" s="89">
        <f>'GUATIRE C'!E27</f>
        <v>1</v>
      </c>
      <c r="M48" s="89">
        <f>'GUATIRE P'!E29</f>
        <v>1</v>
      </c>
      <c r="N48" s="89">
        <f>'GUATIRE R'!E27</f>
        <v>1</v>
      </c>
      <c r="O48" s="89">
        <f>CAUCAGUA!E27</f>
        <v>1</v>
      </c>
      <c r="P48" s="89">
        <f>HIGUEROTE!E27</f>
        <v>1</v>
      </c>
      <c r="Q48" s="89">
        <f>'S MARTIN'!E28</f>
        <v>1</v>
      </c>
      <c r="R48" s="89">
        <f>'NUEVO C'!E27</f>
        <v>1</v>
      </c>
      <c r="S48" s="89">
        <f>DSCASTELLANA!E27</f>
        <v>1</v>
      </c>
      <c r="T48" s="95">
        <f>SUM(C48:Q48)</f>
        <v>15</v>
      </c>
    </row>
    <row r="49" spans="1:20" ht="15" thickBot="1" x14ac:dyDescent="0.35">
      <c r="A49" s="206"/>
      <c r="B49" s="98" t="s">
        <v>87</v>
      </c>
      <c r="C49" s="89">
        <f>BERNARDINO!F27</f>
        <v>1</v>
      </c>
      <c r="D49" s="89">
        <f>DSPARAISO!F27</f>
        <v>1</v>
      </c>
      <c r="E49" s="89">
        <f>PARAISO!E27</f>
        <v>1</v>
      </c>
      <c r="F49" s="89">
        <v>1</v>
      </c>
      <c r="G49" s="89">
        <f>FLORES!F27</f>
        <v>1</v>
      </c>
      <c r="H49" s="89">
        <f>ANTONIO!F27</f>
        <v>1</v>
      </c>
      <c r="I49" s="89">
        <f>'GUARENAS C'!E27</f>
        <v>1</v>
      </c>
      <c r="J49" s="89">
        <f>CCCT!F27</f>
        <v>1</v>
      </c>
      <c r="K49" s="89">
        <f>'GUARENAS 27'!F27</f>
        <v>1</v>
      </c>
      <c r="L49" s="89">
        <f>'GUATIRE C'!F27</f>
        <v>1</v>
      </c>
      <c r="M49" s="89">
        <f>'GUATIRE P'!F29</f>
        <v>1</v>
      </c>
      <c r="N49" s="89">
        <f>'GUATIRE R'!F27</f>
        <v>1</v>
      </c>
      <c r="O49" s="89">
        <f>CAUCAGUA!F27</f>
        <v>1</v>
      </c>
      <c r="P49" s="89">
        <f>HIGUEROTE!F27</f>
        <v>1</v>
      </c>
      <c r="Q49" s="89">
        <f>'S MARTIN'!F28</f>
        <v>1</v>
      </c>
      <c r="R49" s="89">
        <f>'NUEVO C'!F27</f>
        <v>1</v>
      </c>
      <c r="S49" s="89">
        <f>DSCASTELLANA!F27</f>
        <v>1</v>
      </c>
      <c r="T49" s="95">
        <f>SUM(C49:Q49)</f>
        <v>15</v>
      </c>
    </row>
    <row r="50" spans="1:20" ht="15" thickBot="1" x14ac:dyDescent="0.35">
      <c r="A50" s="206"/>
      <c r="B50" s="99" t="s">
        <v>88</v>
      </c>
      <c r="C50" s="91">
        <f>+C49/C48</f>
        <v>1</v>
      </c>
      <c r="D50" s="91">
        <f t="shared" ref="D50:T50" si="13">+D49/D48</f>
        <v>1</v>
      </c>
      <c r="E50" s="91">
        <f t="shared" si="13"/>
        <v>1</v>
      </c>
      <c r="F50" s="91">
        <f t="shared" si="13"/>
        <v>1</v>
      </c>
      <c r="G50" s="91">
        <f t="shared" si="13"/>
        <v>1</v>
      </c>
      <c r="H50" s="91">
        <f t="shared" si="13"/>
        <v>1</v>
      </c>
      <c r="I50" s="91">
        <f t="shared" si="13"/>
        <v>1</v>
      </c>
      <c r="J50" s="91">
        <f t="shared" si="13"/>
        <v>1</v>
      </c>
      <c r="K50" s="91">
        <f t="shared" si="13"/>
        <v>1</v>
      </c>
      <c r="L50" s="91">
        <f t="shared" si="13"/>
        <v>1</v>
      </c>
      <c r="M50" s="91">
        <f t="shared" si="13"/>
        <v>1</v>
      </c>
      <c r="N50" s="91">
        <f t="shared" si="13"/>
        <v>1</v>
      </c>
      <c r="O50" s="91">
        <f t="shared" si="13"/>
        <v>1</v>
      </c>
      <c r="P50" s="91">
        <f t="shared" si="13"/>
        <v>1</v>
      </c>
      <c r="Q50" s="91">
        <f t="shared" si="13"/>
        <v>1</v>
      </c>
      <c r="R50" s="91">
        <f t="shared" si="13"/>
        <v>1</v>
      </c>
      <c r="S50" s="91">
        <f t="shared" si="13"/>
        <v>1</v>
      </c>
      <c r="T50" s="92">
        <f t="shared" si="13"/>
        <v>1</v>
      </c>
    </row>
    <row r="51" spans="1:20" ht="15" thickBot="1" x14ac:dyDescent="0.35">
      <c r="A51" s="206" t="s">
        <v>54</v>
      </c>
      <c r="B51" s="98" t="s">
        <v>85</v>
      </c>
      <c r="C51" s="89">
        <f>BERNARDINO!D28</f>
        <v>0</v>
      </c>
      <c r="D51" s="89">
        <f>DSPARAISO!D28</f>
        <v>0</v>
      </c>
      <c r="E51" s="89">
        <f>PARAISO!D28</f>
        <v>0</v>
      </c>
      <c r="F51" s="89">
        <v>1</v>
      </c>
      <c r="G51" s="89">
        <f>FLORES!D28</f>
        <v>0</v>
      </c>
      <c r="H51" s="89">
        <f>ANTONIO!D28</f>
        <v>0</v>
      </c>
      <c r="I51" s="89">
        <f>'GUARENAS C'!D28</f>
        <v>0</v>
      </c>
      <c r="J51" s="89">
        <f>CCCT!D28</f>
        <v>0</v>
      </c>
      <c r="K51" s="89">
        <f>'GUARENAS 27'!D28</f>
        <v>0</v>
      </c>
      <c r="L51" s="89">
        <f>'GUATIRE C'!D28</f>
        <v>0</v>
      </c>
      <c r="M51" s="89">
        <f>'GUATIRE P'!D30</f>
        <v>0</v>
      </c>
      <c r="N51" s="89">
        <f>'GUATIRE R'!D28</f>
        <v>0</v>
      </c>
      <c r="O51" s="89">
        <f>CAUCAGUA!D28</f>
        <v>0</v>
      </c>
      <c r="P51" s="89">
        <f>HIGUEROTE!D28</f>
        <v>0</v>
      </c>
      <c r="Q51" s="89">
        <f>'S MARTIN'!D29</f>
        <v>0</v>
      </c>
      <c r="R51" s="89">
        <f>'NUEVO C'!D28</f>
        <v>0</v>
      </c>
      <c r="S51" s="89">
        <f>DSCASTELLANA!D28</f>
        <v>0</v>
      </c>
      <c r="T51" s="90">
        <f>SUM(C51:Q51)</f>
        <v>1</v>
      </c>
    </row>
    <row r="52" spans="1:20" ht="15" thickBot="1" x14ac:dyDescent="0.35">
      <c r="A52" s="206"/>
      <c r="B52" s="98" t="s">
        <v>86</v>
      </c>
      <c r="C52" s="89">
        <f>BERNARDINO!E28</f>
        <v>1</v>
      </c>
      <c r="D52" s="89">
        <f>DSPARAISO!E28</f>
        <v>1</v>
      </c>
      <c r="E52" s="89">
        <f>PARAISO!E28</f>
        <v>1</v>
      </c>
      <c r="F52" s="89">
        <v>1</v>
      </c>
      <c r="G52" s="89">
        <f>FLORES!E28</f>
        <v>1</v>
      </c>
      <c r="H52" s="89">
        <f>ANTONIO!E28</f>
        <v>1</v>
      </c>
      <c r="I52" s="89">
        <f>'GUARENAS C'!E28</f>
        <v>1</v>
      </c>
      <c r="J52" s="89">
        <f>CCCT!E28</f>
        <v>1</v>
      </c>
      <c r="K52" s="89">
        <f>'GUARENAS 27'!E28</f>
        <v>1</v>
      </c>
      <c r="L52" s="89">
        <f>'GUATIRE C'!E28</f>
        <v>1</v>
      </c>
      <c r="M52" s="89">
        <f>'GUATIRE P'!E30</f>
        <v>1</v>
      </c>
      <c r="N52" s="89">
        <f>'GUATIRE R'!E28</f>
        <v>1</v>
      </c>
      <c r="O52" s="89">
        <f>CAUCAGUA!E28</f>
        <v>1</v>
      </c>
      <c r="P52" s="89">
        <f>HIGUEROTE!E28</f>
        <v>1</v>
      </c>
      <c r="Q52" s="89">
        <f>'S MARTIN'!E29</f>
        <v>1</v>
      </c>
      <c r="R52" s="89">
        <f>'NUEVO C'!E28</f>
        <v>1</v>
      </c>
      <c r="S52" s="89">
        <f>DSCASTELLANA!E28</f>
        <v>1</v>
      </c>
      <c r="T52" s="90">
        <f>SUM(C52:Q52)</f>
        <v>15</v>
      </c>
    </row>
    <row r="53" spans="1:20" ht="15" thickBot="1" x14ac:dyDescent="0.35">
      <c r="A53" s="206"/>
      <c r="B53" s="98" t="s">
        <v>87</v>
      </c>
      <c r="C53" s="89">
        <f>BERNARDINO!F28</f>
        <v>1</v>
      </c>
      <c r="D53" s="89">
        <f>DSPARAISO!F28</f>
        <v>1</v>
      </c>
      <c r="E53" s="89">
        <f>PARAISO!E28</f>
        <v>1</v>
      </c>
      <c r="F53" s="89">
        <v>1</v>
      </c>
      <c r="G53" s="89">
        <f>FLORES!F28</f>
        <v>1</v>
      </c>
      <c r="H53" s="89">
        <f>ANTONIO!F28</f>
        <v>1</v>
      </c>
      <c r="I53" s="89">
        <f>'GUARENAS C'!E28</f>
        <v>1</v>
      </c>
      <c r="J53" s="89">
        <f>CCCT!F28</f>
        <v>1</v>
      </c>
      <c r="K53" s="89">
        <f>'GUARENAS 27'!F28</f>
        <v>1</v>
      </c>
      <c r="L53" s="89">
        <f>'GUATIRE C'!F28</f>
        <v>1</v>
      </c>
      <c r="M53" s="89">
        <f>'GUATIRE P'!F30</f>
        <v>1</v>
      </c>
      <c r="N53" s="89">
        <f>'GUATIRE R'!F28</f>
        <v>1</v>
      </c>
      <c r="O53" s="89">
        <f>CAUCAGUA!F28</f>
        <v>1</v>
      </c>
      <c r="P53" s="89">
        <f>HIGUEROTE!F28</f>
        <v>1</v>
      </c>
      <c r="Q53" s="89">
        <f>'S MARTIN'!F29</f>
        <v>1</v>
      </c>
      <c r="R53" s="89">
        <f>'NUEVO C'!F28</f>
        <v>1</v>
      </c>
      <c r="S53" s="89">
        <f>DSCASTELLANA!F28</f>
        <v>1</v>
      </c>
      <c r="T53" s="90">
        <f>SUM(C53:Q53)</f>
        <v>15</v>
      </c>
    </row>
    <row r="54" spans="1:20" ht="15" thickBot="1" x14ac:dyDescent="0.35">
      <c r="A54" s="206"/>
      <c r="B54" s="99" t="s">
        <v>88</v>
      </c>
      <c r="C54" s="91">
        <f>+C53/C52</f>
        <v>1</v>
      </c>
      <c r="D54" s="91">
        <f t="shared" ref="D54:T54" si="14">+D53/D52</f>
        <v>1</v>
      </c>
      <c r="E54" s="91">
        <f>+E53/E52</f>
        <v>1</v>
      </c>
      <c r="F54" s="91">
        <f t="shared" si="14"/>
        <v>1</v>
      </c>
      <c r="G54" s="91">
        <f t="shared" si="14"/>
        <v>1</v>
      </c>
      <c r="H54" s="91">
        <f t="shared" si="14"/>
        <v>1</v>
      </c>
      <c r="I54" s="91">
        <f t="shared" si="14"/>
        <v>1</v>
      </c>
      <c r="J54" s="91">
        <f t="shared" si="14"/>
        <v>1</v>
      </c>
      <c r="K54" s="91">
        <f t="shared" si="14"/>
        <v>1</v>
      </c>
      <c r="L54" s="91">
        <f t="shared" si="14"/>
        <v>1</v>
      </c>
      <c r="M54" s="91">
        <f t="shared" si="14"/>
        <v>1</v>
      </c>
      <c r="N54" s="91">
        <f t="shared" si="14"/>
        <v>1</v>
      </c>
      <c r="O54" s="91">
        <f t="shared" si="14"/>
        <v>1</v>
      </c>
      <c r="P54" s="91">
        <f t="shared" si="14"/>
        <v>1</v>
      </c>
      <c r="Q54" s="91">
        <f t="shared" si="14"/>
        <v>1</v>
      </c>
      <c r="R54" s="91">
        <f>+R53/R52</f>
        <v>1</v>
      </c>
      <c r="S54" s="91">
        <f t="shared" si="14"/>
        <v>1</v>
      </c>
      <c r="T54" s="92">
        <f t="shared" si="14"/>
        <v>1</v>
      </c>
    </row>
    <row r="55" spans="1:20" ht="15" thickBot="1" x14ac:dyDescent="0.35">
      <c r="A55" s="206" t="s">
        <v>68</v>
      </c>
      <c r="B55" s="98" t="s">
        <v>85</v>
      </c>
      <c r="C55" s="89">
        <f>BERNARDINO!D29</f>
        <v>4</v>
      </c>
      <c r="D55" s="89">
        <f>DSPARAISO!D29</f>
        <v>4</v>
      </c>
      <c r="E55" s="89">
        <f>PARAISO!D29</f>
        <v>3</v>
      </c>
      <c r="F55" s="89">
        <v>4</v>
      </c>
      <c r="G55" s="89">
        <f>FLORES!D29</f>
        <v>3</v>
      </c>
      <c r="H55" s="89">
        <f>ANTONIO!D29</f>
        <v>2</v>
      </c>
      <c r="I55" s="89">
        <f>'GUARENAS C'!D29</f>
        <v>2</v>
      </c>
      <c r="J55" s="89">
        <f>CCCT!D29</f>
        <v>3</v>
      </c>
      <c r="K55" s="89">
        <f>'GUARENAS 27'!D29</f>
        <v>2</v>
      </c>
      <c r="L55" s="89">
        <f>'GUATIRE C'!D29</f>
        <v>2</v>
      </c>
      <c r="M55" s="89">
        <f>'GUATIRE P'!D31</f>
        <v>3</v>
      </c>
      <c r="N55" s="89">
        <f>'GUATIRE R'!D29</f>
        <v>2</v>
      </c>
      <c r="O55" s="89">
        <f>CAUCAGUA!D29</f>
        <v>3</v>
      </c>
      <c r="P55" s="89">
        <f>HIGUEROTE!D29</f>
        <v>2</v>
      </c>
      <c r="Q55" s="89">
        <f>'S MARTIN'!D30</f>
        <v>2</v>
      </c>
      <c r="R55" s="89">
        <f>'NUEVO C'!D29</f>
        <v>2</v>
      </c>
      <c r="S55" s="89">
        <f>DSCASTELLANA!D29</f>
        <v>4</v>
      </c>
      <c r="T55" s="96">
        <f>SUM(C55:Q55)</f>
        <v>41</v>
      </c>
    </row>
    <row r="56" spans="1:20" ht="15" thickBot="1" x14ac:dyDescent="0.35">
      <c r="A56" s="206"/>
      <c r="B56" s="98" t="s">
        <v>86</v>
      </c>
      <c r="C56" s="89">
        <f>BERNARDINO!E29</f>
        <v>4</v>
      </c>
      <c r="D56" s="89">
        <f>DSPARAISO!E29</f>
        <v>4</v>
      </c>
      <c r="E56" s="89">
        <f>PARAISO!E29</f>
        <v>3</v>
      </c>
      <c r="F56" s="89">
        <v>4</v>
      </c>
      <c r="G56" s="89">
        <f>FLORES!E29</f>
        <v>3</v>
      </c>
      <c r="H56" s="89">
        <f>ANTONIO!E29</f>
        <v>2</v>
      </c>
      <c r="I56" s="89">
        <f>'GUARENAS C'!E29</f>
        <v>2</v>
      </c>
      <c r="J56" s="89">
        <f>CCCT!E29</f>
        <v>3</v>
      </c>
      <c r="K56" s="89">
        <f>'GUARENAS 27'!E29</f>
        <v>2</v>
      </c>
      <c r="L56" s="89">
        <f>'GUATIRE C'!E29</f>
        <v>2</v>
      </c>
      <c r="M56" s="89">
        <f>'GUATIRE P'!E31</f>
        <v>3</v>
      </c>
      <c r="N56" s="89">
        <f>'GUATIRE R'!E29</f>
        <v>2</v>
      </c>
      <c r="O56" s="89">
        <f>CAUCAGUA!E29</f>
        <v>3</v>
      </c>
      <c r="P56" s="89">
        <f>HIGUEROTE!E29</f>
        <v>2</v>
      </c>
      <c r="Q56" s="89">
        <f>'S MARTIN'!E30</f>
        <v>2</v>
      </c>
      <c r="R56" s="89">
        <f>'NUEVO C'!E29</f>
        <v>2</v>
      </c>
      <c r="S56" s="89">
        <f>DSCASTELLANA!E29</f>
        <v>4</v>
      </c>
      <c r="T56" s="96">
        <f>SUM(C56:Q56)</f>
        <v>41</v>
      </c>
    </row>
    <row r="57" spans="1:20" ht="15" thickBot="1" x14ac:dyDescent="0.35">
      <c r="A57" s="206"/>
      <c r="B57" s="98" t="s">
        <v>87</v>
      </c>
      <c r="C57" s="89">
        <f>BERNARDINO!F29</f>
        <v>4</v>
      </c>
      <c r="D57" s="89">
        <f>DSPARAISO!F29</f>
        <v>4</v>
      </c>
      <c r="E57" s="89">
        <f>PARAISO!E29</f>
        <v>3</v>
      </c>
      <c r="F57" s="89">
        <v>4</v>
      </c>
      <c r="G57" s="89">
        <f>FLORES!F29</f>
        <v>3</v>
      </c>
      <c r="H57" s="89">
        <f>ANTONIO!F29</f>
        <v>2</v>
      </c>
      <c r="I57" s="89">
        <f>'GUARENAS C'!E29</f>
        <v>2</v>
      </c>
      <c r="J57" s="89">
        <f>CCCT!F29</f>
        <v>3</v>
      </c>
      <c r="K57" s="89">
        <f>'GUARENAS 27'!F29</f>
        <v>2</v>
      </c>
      <c r="L57" s="89">
        <f>'GUATIRE C'!F29</f>
        <v>2</v>
      </c>
      <c r="M57" s="89">
        <f>'GUATIRE P'!F31</f>
        <v>3</v>
      </c>
      <c r="N57" s="89">
        <f>'GUATIRE R'!F29</f>
        <v>2</v>
      </c>
      <c r="O57" s="89">
        <f>CAUCAGUA!F29</f>
        <v>3</v>
      </c>
      <c r="P57" s="89">
        <f>HIGUEROTE!F29</f>
        <v>2</v>
      </c>
      <c r="Q57" s="89">
        <f>'S MARTIN'!F30</f>
        <v>2</v>
      </c>
      <c r="R57" s="89">
        <f>'NUEVO C'!F29</f>
        <v>2</v>
      </c>
      <c r="S57" s="89">
        <f>DSCASTELLANA!F29</f>
        <v>4</v>
      </c>
      <c r="T57" s="96">
        <f>SUM(C57:Q57)</f>
        <v>41</v>
      </c>
    </row>
    <row r="58" spans="1:20" ht="15" thickBot="1" x14ac:dyDescent="0.35">
      <c r="A58" s="206"/>
      <c r="B58" s="99" t="s">
        <v>88</v>
      </c>
      <c r="C58" s="91">
        <f>+C57/C56</f>
        <v>1</v>
      </c>
      <c r="D58" s="91">
        <f t="shared" ref="D58:T58" si="15">+D57/D56</f>
        <v>1</v>
      </c>
      <c r="E58" s="91">
        <f t="shared" si="15"/>
        <v>1</v>
      </c>
      <c r="F58" s="91">
        <f t="shared" si="15"/>
        <v>1</v>
      </c>
      <c r="G58" s="91">
        <f t="shared" si="15"/>
        <v>1</v>
      </c>
      <c r="H58" s="91">
        <f t="shared" si="15"/>
        <v>1</v>
      </c>
      <c r="I58" s="91">
        <f t="shared" si="15"/>
        <v>1</v>
      </c>
      <c r="J58" s="91">
        <f t="shared" si="15"/>
        <v>1</v>
      </c>
      <c r="K58" s="91">
        <f t="shared" si="15"/>
        <v>1</v>
      </c>
      <c r="L58" s="91">
        <f t="shared" si="15"/>
        <v>1</v>
      </c>
      <c r="M58" s="91">
        <f t="shared" si="15"/>
        <v>1</v>
      </c>
      <c r="N58" s="91">
        <f t="shared" si="15"/>
        <v>1</v>
      </c>
      <c r="O58" s="91">
        <f t="shared" si="15"/>
        <v>1</v>
      </c>
      <c r="P58" s="91">
        <f t="shared" si="15"/>
        <v>1</v>
      </c>
      <c r="Q58" s="91">
        <f t="shared" si="15"/>
        <v>1</v>
      </c>
      <c r="R58" s="91">
        <f t="shared" si="15"/>
        <v>1</v>
      </c>
      <c r="S58" s="91">
        <f t="shared" si="15"/>
        <v>1</v>
      </c>
      <c r="T58" s="92">
        <f t="shared" si="15"/>
        <v>1</v>
      </c>
    </row>
    <row r="59" spans="1:20" ht="15" thickBot="1" x14ac:dyDescent="0.35">
      <c r="A59" s="208" t="s">
        <v>90</v>
      </c>
      <c r="B59" s="209"/>
      <c r="C59" s="97">
        <f>AVERAGE(C58,C54,C50,C42,C38,C34,C30,C26,C22,C18,C14,C10,C6,C46)</f>
        <v>1.0297619047619049</v>
      </c>
      <c r="D59" s="97">
        <f t="shared" ref="D59:T59" si="16">AVERAGE(D58,D54,D50,D42,D38,D34,D30,D26,D22,D18,D14,D10,D6,D46)</f>
        <v>1</v>
      </c>
      <c r="E59" s="97">
        <f t="shared" si="16"/>
        <v>1</v>
      </c>
      <c r="F59" s="97">
        <f t="shared" si="16"/>
        <v>0.9285714285714286</v>
      </c>
      <c r="G59" s="97">
        <f t="shared" si="16"/>
        <v>1</v>
      </c>
      <c r="H59" s="97">
        <f t="shared" si="16"/>
        <v>1</v>
      </c>
      <c r="I59" s="97">
        <f t="shared" si="16"/>
        <v>1</v>
      </c>
      <c r="J59" s="97">
        <f t="shared" si="16"/>
        <v>1</v>
      </c>
      <c r="K59" s="97">
        <f t="shared" si="16"/>
        <v>1</v>
      </c>
      <c r="L59" s="97">
        <f t="shared" si="16"/>
        <v>1</v>
      </c>
      <c r="M59" s="97">
        <f t="shared" si="16"/>
        <v>1</v>
      </c>
      <c r="N59" s="97">
        <f t="shared" si="16"/>
        <v>1</v>
      </c>
      <c r="O59" s="97">
        <f t="shared" si="16"/>
        <v>1</v>
      </c>
      <c r="P59" s="97">
        <f t="shared" si="16"/>
        <v>1</v>
      </c>
      <c r="Q59" s="97">
        <f t="shared" si="16"/>
        <v>1</v>
      </c>
      <c r="R59" s="97">
        <f t="shared" si="16"/>
        <v>1</v>
      </c>
      <c r="S59" s="97">
        <f t="shared" si="16"/>
        <v>1.0238095238095239</v>
      </c>
      <c r="T59" s="97">
        <f t="shared" si="16"/>
        <v>0.99731935457109666</v>
      </c>
    </row>
  </sheetData>
  <mergeCells count="17">
    <mergeCell ref="A51:A54"/>
    <mergeCell ref="A59:B59"/>
    <mergeCell ref="A55:A58"/>
    <mergeCell ref="A35:A38"/>
    <mergeCell ref="A39:A42"/>
    <mergeCell ref="A43:A46"/>
    <mergeCell ref="A47:A50"/>
    <mergeCell ref="A15:A18"/>
    <mergeCell ref="A19:A22"/>
    <mergeCell ref="A23:A26"/>
    <mergeCell ref="A27:A30"/>
    <mergeCell ref="A31:A34"/>
    <mergeCell ref="A7:A10"/>
    <mergeCell ref="A1:B2"/>
    <mergeCell ref="C1:T1"/>
    <mergeCell ref="A3:A6"/>
    <mergeCell ref="A11:A1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/>
  <dimension ref="A1:E19"/>
  <sheetViews>
    <sheetView workbookViewId="0">
      <selection activeCell="E9" sqref="E9"/>
    </sheetView>
  </sheetViews>
  <sheetFormatPr baseColWidth="10" defaultRowHeight="14.4" x14ac:dyDescent="0.3"/>
  <cols>
    <col min="1" max="1" width="50" customWidth="1" collapsed="1"/>
  </cols>
  <sheetData>
    <row r="1" spans="1:5" x14ac:dyDescent="0.3">
      <c r="A1" s="2" t="s">
        <v>77</v>
      </c>
      <c r="B1" s="1"/>
      <c r="C1" s="1"/>
      <c r="D1" s="1"/>
      <c r="E1" s="1"/>
    </row>
    <row r="2" spans="1:5" x14ac:dyDescent="0.3">
      <c r="A2" s="50" t="s">
        <v>2</v>
      </c>
      <c r="B2" s="1"/>
      <c r="C2" s="1"/>
      <c r="D2" s="1"/>
      <c r="E2" s="1"/>
    </row>
    <row r="3" spans="1:5" x14ac:dyDescent="0.3">
      <c r="A3" s="50" t="s">
        <v>46</v>
      </c>
      <c r="B3" s="1"/>
      <c r="C3" s="1"/>
      <c r="D3" s="1"/>
      <c r="E3" s="1"/>
    </row>
    <row r="4" spans="1:5" x14ac:dyDescent="0.3">
      <c r="A4" s="50" t="s">
        <v>69</v>
      </c>
      <c r="B4" s="1"/>
      <c r="C4" s="1"/>
      <c r="D4" s="1"/>
      <c r="E4" s="1"/>
    </row>
    <row r="5" spans="1:5" x14ac:dyDescent="0.3">
      <c r="A5" s="50" t="s">
        <v>70</v>
      </c>
      <c r="B5" s="1"/>
      <c r="C5" s="1"/>
      <c r="D5" s="1"/>
      <c r="E5" s="1"/>
    </row>
    <row r="6" spans="1:5" x14ac:dyDescent="0.3">
      <c r="A6" s="50" t="s">
        <v>71</v>
      </c>
      <c r="B6" s="1"/>
      <c r="C6" s="1"/>
      <c r="D6" s="1"/>
      <c r="E6" s="1"/>
    </row>
    <row r="7" spans="1:5" x14ac:dyDescent="0.3">
      <c r="A7" s="50" t="s">
        <v>3</v>
      </c>
      <c r="B7" s="1"/>
      <c r="C7" s="1"/>
      <c r="D7" s="1"/>
      <c r="E7" s="1"/>
    </row>
    <row r="8" spans="1:5" x14ac:dyDescent="0.3">
      <c r="A8" s="50" t="s">
        <v>78</v>
      </c>
      <c r="B8" s="1"/>
      <c r="C8" s="1"/>
      <c r="D8" s="1"/>
      <c r="E8" s="1"/>
    </row>
    <row r="9" spans="1:5" x14ac:dyDescent="0.3">
      <c r="A9" s="50" t="s">
        <v>4</v>
      </c>
      <c r="B9" s="1"/>
      <c r="C9" s="1"/>
      <c r="D9" s="1"/>
      <c r="E9" s="1"/>
    </row>
    <row r="10" spans="1:5" x14ac:dyDescent="0.3">
      <c r="A10" s="1" t="s">
        <v>72</v>
      </c>
      <c r="B10" s="1"/>
      <c r="C10" s="1"/>
      <c r="D10" s="1"/>
      <c r="E10" s="1"/>
    </row>
    <row r="11" spans="1:5" x14ac:dyDescent="0.3">
      <c r="A11" s="1" t="s">
        <v>73</v>
      </c>
      <c r="B11" s="1"/>
      <c r="C11" s="1"/>
      <c r="D11" s="1"/>
      <c r="E11" s="1"/>
    </row>
    <row r="12" spans="1:5" x14ac:dyDescent="0.3">
      <c r="A12" s="1" t="s">
        <v>5</v>
      </c>
      <c r="B12" s="1"/>
      <c r="C12" s="1"/>
      <c r="D12" s="1"/>
      <c r="E12" s="1"/>
    </row>
    <row r="13" spans="1:5" x14ac:dyDescent="0.3">
      <c r="A13" s="1" t="s">
        <v>74</v>
      </c>
      <c r="B13" s="1"/>
      <c r="C13" s="1"/>
      <c r="D13" s="1"/>
      <c r="E13" s="1"/>
    </row>
    <row r="14" spans="1:5" x14ac:dyDescent="0.3">
      <c r="A14" s="1" t="s">
        <v>79</v>
      </c>
      <c r="B14" s="1"/>
      <c r="C14" s="1"/>
      <c r="D14" s="1"/>
      <c r="E14" s="1"/>
    </row>
    <row r="15" spans="1:5" x14ac:dyDescent="0.3">
      <c r="A15" s="1" t="s">
        <v>80</v>
      </c>
      <c r="B15" s="1"/>
      <c r="C15" s="1"/>
      <c r="D15" s="1"/>
      <c r="E15" s="1"/>
    </row>
    <row r="16" spans="1:5" x14ac:dyDescent="0.3">
      <c r="A16" s="1" t="s">
        <v>75</v>
      </c>
      <c r="B16" s="1"/>
      <c r="C16" s="1"/>
      <c r="D16" s="1"/>
      <c r="E16" s="1"/>
    </row>
    <row r="17" spans="1:5" x14ac:dyDescent="0.3">
      <c r="A17" s="1" t="s">
        <v>6</v>
      </c>
      <c r="B17" s="1"/>
      <c r="C17" s="1"/>
      <c r="D17" s="1"/>
      <c r="E17" s="1"/>
    </row>
    <row r="18" spans="1:5" x14ac:dyDescent="0.3">
      <c r="A18" s="1" t="s">
        <v>76</v>
      </c>
      <c r="B18" s="1"/>
      <c r="C18" s="1"/>
      <c r="D18" s="1"/>
      <c r="E18" s="1"/>
    </row>
    <row r="19" spans="1:5" x14ac:dyDescent="0.3">
      <c r="A19" s="1" t="s">
        <v>7</v>
      </c>
      <c r="B19" s="1"/>
      <c r="C19" s="1"/>
      <c r="D19" s="1"/>
      <c r="E19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18</vt:i4>
      </vt:variant>
    </vt:vector>
  </HeadingPairs>
  <TitlesOfParts>
    <vt:vector size="39" baseType="lpstr">
      <vt:lpstr>BERNARDINO</vt:lpstr>
      <vt:lpstr>DSPARAISO</vt:lpstr>
      <vt:lpstr>PARAISO</vt:lpstr>
      <vt:lpstr>PRESIDENTE</vt:lpstr>
      <vt:lpstr>FLORES</vt:lpstr>
      <vt:lpstr>ANTONIO</vt:lpstr>
      <vt:lpstr>CCCT</vt:lpstr>
      <vt:lpstr>GUARENAS C</vt:lpstr>
      <vt:lpstr>GUARENAS 27</vt:lpstr>
      <vt:lpstr>GUATIRE R</vt:lpstr>
      <vt:lpstr>GUATIRE C</vt:lpstr>
      <vt:lpstr>GUATIRE P</vt:lpstr>
      <vt:lpstr>CAUCAGUA</vt:lpstr>
      <vt:lpstr>HIGUEROTE</vt:lpstr>
      <vt:lpstr>S MARTIN</vt:lpstr>
      <vt:lpstr>NUEVO C</vt:lpstr>
      <vt:lpstr>DSCASTELLANA</vt:lpstr>
      <vt:lpstr>CONSOLIDADO</vt:lpstr>
      <vt:lpstr>MAESTRO</vt:lpstr>
      <vt:lpstr>Hoja2</vt:lpstr>
      <vt:lpstr>Hoja1</vt:lpstr>
      <vt:lpstr>ANTONIO!Área_de_impresión</vt:lpstr>
      <vt:lpstr>BERNARDINO!Área_de_impresión</vt:lpstr>
      <vt:lpstr>CAUCAGUA!Área_de_impresión</vt:lpstr>
      <vt:lpstr>CCCT!Área_de_impresión</vt:lpstr>
      <vt:lpstr>DSCASTELLANA!Área_de_impresión</vt:lpstr>
      <vt:lpstr>DSPARAISO!Área_de_impresión</vt:lpstr>
      <vt:lpstr>FLORES!Área_de_impresión</vt:lpstr>
      <vt:lpstr>'GUARENAS 27'!Área_de_impresión</vt:lpstr>
      <vt:lpstr>'GUARENAS C'!Área_de_impresión</vt:lpstr>
      <vt:lpstr>'GUATIRE C'!Área_de_impresión</vt:lpstr>
      <vt:lpstr>'GUATIRE P'!Área_de_impresión</vt:lpstr>
      <vt:lpstr>'GUATIRE R'!Área_de_impresión</vt:lpstr>
      <vt:lpstr>HIGUEROTE!Área_de_impresión</vt:lpstr>
      <vt:lpstr>'NUEVO C'!Área_de_impresión</vt:lpstr>
      <vt:lpstr>PARAISO!Área_de_impresión</vt:lpstr>
      <vt:lpstr>PRESIDENTE!Área_de_impresión</vt:lpstr>
      <vt:lpstr>'S MARTIN'!Área_de_impresión</vt:lpstr>
      <vt:lpstr>SUCURSALES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lmendoza</dc:creator>
  <cp:lastModifiedBy>PC Franklin</cp:lastModifiedBy>
  <cp:lastPrinted>2023-11-07T19:18:27Z</cp:lastPrinted>
  <dcterms:created xsi:type="dcterms:W3CDTF">2015-04-14T20:47:07Z</dcterms:created>
  <dcterms:modified xsi:type="dcterms:W3CDTF">2026-05-15T12:49:15Z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96 96 1360 768</vt:lpwstr>
  </property>
</Properties>
</file>