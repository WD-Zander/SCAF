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C Franklin\Desktop\Indicadores Franklin\2026\Check List De Equipos Abril 2026\"/>
    </mc:Choice>
  </mc:AlternateContent>
  <xr:revisionPtr revIDLastSave="0" documentId="13_ncr:1_{D494AF35-A15C-4368-B5C8-42D612D8CAF7}" xr6:coauthVersionLast="47" xr6:coauthVersionMax="47" xr10:uidLastSave="{00000000-0000-0000-0000-000000000000}"/>
  <bookViews>
    <workbookView xWindow="28680" yWindow="1635" windowWidth="24240" windowHeight="13020" tabRatio="750" xr2:uid="{00000000-000D-0000-FFFF-FFFF00000000}"/>
  </bookViews>
  <sheets>
    <sheet name="CON" sheetId="43" r:id="rId1"/>
    <sheet name="PLA" sheetId="58" r:id="rId2"/>
    <sheet name="ROB" sheetId="59" r:id="rId3"/>
    <sheet name="FUE" sheetId="60" r:id="rId4"/>
    <sheet name="ANG" sheetId="61" r:id="rId5"/>
    <sheet name="AERO" sheetId="81" r:id="rId6"/>
    <sheet name="CONSOLIDADO" sheetId="80" r:id="rId7"/>
    <sheet name="MAESTRO" sheetId="75" state="hidden" r:id="rId8"/>
    <sheet name="Hoja2" sheetId="76" state="hidden" r:id="rId9"/>
    <sheet name="Hoja1" sheetId="77" state="hidden" r:id="rId10"/>
  </sheets>
  <definedNames>
    <definedName name="_xlnm.Print_Area" localSheetId="5">AERO!$A$1:$K$36</definedName>
    <definedName name="_xlnm.Print_Area" localSheetId="4">ANG!$A$1:$K$36</definedName>
    <definedName name="_xlnm.Print_Area" localSheetId="0">CON!$A$1:$L$36</definedName>
    <definedName name="_xlnm.Print_Area" localSheetId="3">FUE!$A$1:$K$36</definedName>
    <definedName name="_xlnm.Print_Area" localSheetId="1">PLA!$A$1:$K$36</definedName>
    <definedName name="_xlnm.Print_Area" localSheetId="2">ROB!$A$1:$K$37</definedName>
    <definedName name="CUMPLIO" localSheetId="5">#REF!</definedName>
    <definedName name="CUMPLIO" localSheetId="4">#REF!</definedName>
    <definedName name="CUMPLIO" localSheetId="0">#REF!</definedName>
    <definedName name="CUMPLIO" localSheetId="3">#REF!</definedName>
    <definedName name="CUMPLIO" localSheetId="1">#REF!</definedName>
    <definedName name="CUMPLIO" localSheetId="2">#REF!</definedName>
    <definedName name="CUMPLIO">#REF!</definedName>
    <definedName name="EQUIPO" localSheetId="5">#REF!</definedName>
    <definedName name="EQUIPO" localSheetId="4">#REF!</definedName>
    <definedName name="EQUIPO" localSheetId="0">#REF!</definedName>
    <definedName name="EQUIPO" localSheetId="3">#REF!</definedName>
    <definedName name="EQUIPO" localSheetId="1">#REF!</definedName>
    <definedName name="EQUIPO" localSheetId="2">#REF!</definedName>
    <definedName name="EQUIPO">#REF!</definedName>
    <definedName name="EQUIPOS" localSheetId="5">#REF!</definedName>
    <definedName name="EQUIPOS" localSheetId="4">#REF!</definedName>
    <definedName name="EQUIPOS" localSheetId="0">#REF!</definedName>
    <definedName name="EQUIPOS" localSheetId="3">#REF!</definedName>
    <definedName name="EQUIPOS" localSheetId="1">#REF!</definedName>
    <definedName name="EQUIPOS" localSheetId="2">#REF!</definedName>
    <definedName name="EQUIPOS">#REF!</definedName>
    <definedName name="LISTA" localSheetId="5">#REF!</definedName>
    <definedName name="LISTA" localSheetId="4">#REF!</definedName>
    <definedName name="LISTA" localSheetId="0">#REF!</definedName>
    <definedName name="LISTA" localSheetId="3">#REF!</definedName>
    <definedName name="LISTA" localSheetId="1">#REF!</definedName>
    <definedName name="LISTA" localSheetId="2">#REF!</definedName>
    <definedName name="LISTA">#REF!</definedName>
    <definedName name="MANTENIMIENTO" localSheetId="5">#REF!</definedName>
    <definedName name="MANTENIMIENTO" localSheetId="4">#REF!</definedName>
    <definedName name="MANTENIMIENTO" localSheetId="0">#REF!</definedName>
    <definedName name="MANTENIMIENTO" localSheetId="3">#REF!</definedName>
    <definedName name="MANTENIMIENTO" localSheetId="1">#REF!</definedName>
    <definedName name="MANTENIMIENTO" localSheetId="2">#REF!</definedName>
    <definedName name="MANTENIMIENTO">#REF!</definedName>
    <definedName name="NUMERACION" localSheetId="5">#REF!</definedName>
    <definedName name="NUMERACION" localSheetId="4">#REF!</definedName>
    <definedName name="NUMERACION" localSheetId="0">#REF!</definedName>
    <definedName name="NUMERACION" localSheetId="3">#REF!</definedName>
    <definedName name="NUMERACION" localSheetId="1">#REF!</definedName>
    <definedName name="NUMERACION" localSheetId="2">#REF!</definedName>
    <definedName name="NUMERACION">#REF!</definedName>
    <definedName name="SINO" localSheetId="5">#REF!</definedName>
    <definedName name="SINO" localSheetId="4">#REF!</definedName>
    <definedName name="SINO" localSheetId="0">#REF!</definedName>
    <definedName name="SINO" localSheetId="3">#REF!</definedName>
    <definedName name="SINO" localSheetId="1">#REF!</definedName>
    <definedName name="SINO" localSheetId="2">#REF!</definedName>
    <definedName name="SINO">#REF!</definedName>
    <definedName name="SUCURSALES">MAESTRO!$A$1:$A$21</definedName>
    <definedName name="TIENDAS" localSheetId="5">#REF!</definedName>
    <definedName name="TIENDAS" localSheetId="4">#REF!</definedName>
    <definedName name="TIENDAS" localSheetId="0">#REF!</definedName>
    <definedName name="TIENDAS" localSheetId="3">#REF!</definedName>
    <definedName name="TIENDAS" localSheetId="1">#REF!</definedName>
    <definedName name="TIENDAS" localSheetId="2">#REF!</definedName>
    <definedName name="TIENDA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7" i="80" l="1"/>
  <c r="H56" i="80"/>
  <c r="H55" i="80"/>
  <c r="H58" i="80" s="1"/>
  <c r="H53" i="80"/>
  <c r="H54" i="80" s="1"/>
  <c r="H52" i="80"/>
  <c r="H51" i="80"/>
  <c r="H50" i="80"/>
  <c r="H49" i="80"/>
  <c r="H48" i="80"/>
  <c r="H47" i="80"/>
  <c r="H45" i="80"/>
  <c r="H46" i="80" s="1"/>
  <c r="H44" i="80"/>
  <c r="H43" i="80"/>
  <c r="H42" i="80"/>
  <c r="H41" i="80"/>
  <c r="H40" i="80"/>
  <c r="H39" i="80"/>
  <c r="H37" i="80"/>
  <c r="H38" i="80" s="1"/>
  <c r="H36" i="80"/>
  <c r="H35" i="80"/>
  <c r="H32" i="80"/>
  <c r="H34" i="80" s="1"/>
  <c r="H33" i="80"/>
  <c r="H31" i="80"/>
  <c r="H29" i="80"/>
  <c r="H28" i="80"/>
  <c r="H27" i="80"/>
  <c r="H30" i="80" s="1"/>
  <c r="H24" i="80"/>
  <c r="H26" i="80" s="1"/>
  <c r="H25" i="80"/>
  <c r="H23" i="80"/>
  <c r="H21" i="80"/>
  <c r="H22" i="80" s="1"/>
  <c r="H20" i="80"/>
  <c r="H19" i="80"/>
  <c r="H17" i="80" l="1"/>
  <c r="H18" i="80" s="1"/>
  <c r="H16" i="80"/>
  <c r="H15" i="80"/>
  <c r="H14" i="80"/>
  <c r="H13" i="80"/>
  <c r="H12" i="80"/>
  <c r="H11" i="80"/>
  <c r="G11" i="80"/>
  <c r="H9" i="80"/>
  <c r="H10" i="80" s="1"/>
  <c r="H8" i="80"/>
  <c r="H7" i="80"/>
  <c r="H5" i="80"/>
  <c r="H6" i="80" s="1"/>
  <c r="H4" i="80"/>
  <c r="H3" i="80"/>
  <c r="K61" i="81"/>
  <c r="K60" i="81"/>
  <c r="K59" i="81"/>
  <c r="K58" i="81"/>
  <c r="K57" i="81"/>
  <c r="K56" i="81"/>
  <c r="K55" i="81"/>
  <c r="K54" i="81"/>
  <c r="K53" i="81"/>
  <c r="K52" i="81"/>
  <c r="K51" i="81"/>
  <c r="K50" i="81"/>
  <c r="K49" i="81"/>
  <c r="K48" i="81"/>
  <c r="K47" i="81"/>
  <c r="K46" i="81"/>
  <c r="K45" i="81"/>
  <c r="K44" i="81"/>
  <c r="K43" i="81"/>
  <c r="K42" i="81"/>
  <c r="K41" i="81"/>
  <c r="G29" i="81"/>
  <c r="G28" i="81"/>
  <c r="G27" i="81"/>
  <c r="G26" i="81"/>
  <c r="G25" i="81"/>
  <c r="G24" i="81"/>
  <c r="G23" i="81"/>
  <c r="G15" i="81"/>
  <c r="G14" i="81"/>
  <c r="G13" i="81"/>
  <c r="G12" i="81"/>
  <c r="G11" i="81"/>
  <c r="G10" i="81"/>
  <c r="G9" i="81"/>
  <c r="H59" i="80" l="1"/>
  <c r="G30" i="81"/>
  <c r="G57" i="80" l="1"/>
  <c r="G56" i="80"/>
  <c r="G55" i="80"/>
  <c r="F57" i="80"/>
  <c r="F56" i="80"/>
  <c r="F55" i="80"/>
  <c r="E57" i="80"/>
  <c r="E56" i="80"/>
  <c r="E55" i="80"/>
  <c r="D57" i="80"/>
  <c r="D56" i="80"/>
  <c r="D55" i="80"/>
  <c r="C57" i="80"/>
  <c r="C56" i="80"/>
  <c r="C55" i="80"/>
  <c r="G53" i="80"/>
  <c r="G52" i="80"/>
  <c r="G51" i="80"/>
  <c r="F53" i="80"/>
  <c r="F52" i="80"/>
  <c r="F51" i="80"/>
  <c r="E53" i="80"/>
  <c r="E52" i="80"/>
  <c r="E51" i="80"/>
  <c r="D53" i="80"/>
  <c r="D52" i="80"/>
  <c r="D51" i="80"/>
  <c r="C53" i="80"/>
  <c r="C52" i="80"/>
  <c r="C51" i="80"/>
  <c r="G49" i="80"/>
  <c r="G48" i="80"/>
  <c r="G47" i="80"/>
  <c r="F49" i="80"/>
  <c r="F48" i="80"/>
  <c r="F47" i="80"/>
  <c r="E49" i="80"/>
  <c r="E48" i="80"/>
  <c r="E47" i="80"/>
  <c r="D49" i="80"/>
  <c r="D48" i="80"/>
  <c r="D47" i="80"/>
  <c r="C49" i="80"/>
  <c r="C48" i="80"/>
  <c r="C47" i="80"/>
  <c r="G45" i="80"/>
  <c r="G44" i="80"/>
  <c r="G43" i="80"/>
  <c r="F45" i="80"/>
  <c r="F44" i="80"/>
  <c r="F43" i="80"/>
  <c r="E45" i="80"/>
  <c r="E44" i="80"/>
  <c r="E43" i="80"/>
  <c r="D45" i="80"/>
  <c r="D44" i="80"/>
  <c r="D43" i="80"/>
  <c r="G41" i="80"/>
  <c r="G40" i="80"/>
  <c r="G39" i="80"/>
  <c r="F41" i="80"/>
  <c r="F40" i="80"/>
  <c r="F39" i="80"/>
  <c r="E41" i="80"/>
  <c r="E40" i="80"/>
  <c r="E39" i="80"/>
  <c r="C45" i="80"/>
  <c r="C44" i="80"/>
  <c r="C43" i="80"/>
  <c r="D41" i="80"/>
  <c r="D40" i="80"/>
  <c r="D39" i="80"/>
  <c r="C41" i="80"/>
  <c r="C40" i="80"/>
  <c r="C39" i="80"/>
  <c r="G37" i="80"/>
  <c r="G36" i="80"/>
  <c r="G35" i="80"/>
  <c r="F37" i="80"/>
  <c r="F36" i="80"/>
  <c r="F35" i="80"/>
  <c r="E37" i="80"/>
  <c r="E36" i="80"/>
  <c r="E35" i="80"/>
  <c r="G33" i="80"/>
  <c r="G32" i="80"/>
  <c r="G31" i="80"/>
  <c r="F33" i="80"/>
  <c r="F32" i="80"/>
  <c r="F31" i="80"/>
  <c r="E33" i="80"/>
  <c r="E32" i="80"/>
  <c r="E31" i="80"/>
  <c r="D37" i="80"/>
  <c r="D36" i="80"/>
  <c r="D35" i="80"/>
  <c r="C37" i="80"/>
  <c r="C36" i="80"/>
  <c r="C35" i="80"/>
  <c r="D33" i="80"/>
  <c r="D32" i="80"/>
  <c r="D31" i="80"/>
  <c r="C33" i="80"/>
  <c r="I33" i="80" s="1"/>
  <c r="C32" i="80"/>
  <c r="I32" i="80" s="1"/>
  <c r="C31" i="80"/>
  <c r="I31" i="80" s="1"/>
  <c r="G29" i="80"/>
  <c r="G28" i="80"/>
  <c r="G27" i="80"/>
  <c r="F29" i="80"/>
  <c r="F28" i="80"/>
  <c r="F27" i="80"/>
  <c r="E29" i="80"/>
  <c r="E28" i="80"/>
  <c r="E27" i="80"/>
  <c r="D29" i="80"/>
  <c r="D28" i="80"/>
  <c r="D27" i="80"/>
  <c r="C29" i="80"/>
  <c r="C28" i="80"/>
  <c r="C27" i="80"/>
  <c r="I49" i="80" l="1"/>
  <c r="I47" i="80"/>
  <c r="I48" i="80"/>
  <c r="I51" i="80"/>
  <c r="I53" i="80"/>
  <c r="I39" i="80"/>
  <c r="I36" i="80"/>
  <c r="I40" i="80"/>
  <c r="I28" i="80"/>
  <c r="I29" i="80"/>
  <c r="I52" i="80"/>
  <c r="I35" i="80"/>
  <c r="I37" i="80"/>
  <c r="I41" i="80"/>
  <c r="G30" i="80"/>
  <c r="I27" i="80"/>
  <c r="D34" i="80"/>
  <c r="F34" i="80"/>
  <c r="C34" i="80"/>
  <c r="E34" i="80"/>
  <c r="G34" i="80"/>
  <c r="G25" i="80"/>
  <c r="G24" i="80"/>
  <c r="G23" i="80"/>
  <c r="F25" i="80"/>
  <c r="F24" i="80"/>
  <c r="F23" i="80"/>
  <c r="E25" i="80"/>
  <c r="E24" i="80"/>
  <c r="E23" i="80"/>
  <c r="D25" i="80"/>
  <c r="D24" i="80"/>
  <c r="D23" i="80"/>
  <c r="C25" i="80"/>
  <c r="I25" i="80" s="1"/>
  <c r="C24" i="80"/>
  <c r="I24" i="80" s="1"/>
  <c r="C23" i="80"/>
  <c r="I23" i="80" s="1"/>
  <c r="G21" i="80"/>
  <c r="G20" i="80"/>
  <c r="G19" i="80"/>
  <c r="F21" i="80"/>
  <c r="F20" i="80"/>
  <c r="F19" i="80"/>
  <c r="E21" i="80"/>
  <c r="E20" i="80"/>
  <c r="E19" i="80"/>
  <c r="D21" i="80"/>
  <c r="D20" i="80"/>
  <c r="D19" i="80"/>
  <c r="C21" i="80"/>
  <c r="C20" i="80"/>
  <c r="C19" i="80"/>
  <c r="C17" i="80"/>
  <c r="C16" i="80"/>
  <c r="C15" i="80"/>
  <c r="D17" i="80"/>
  <c r="D16" i="80"/>
  <c r="D15" i="80"/>
  <c r="E17" i="80"/>
  <c r="E16" i="80"/>
  <c r="E15" i="80"/>
  <c r="F17" i="80"/>
  <c r="F16" i="80"/>
  <c r="F15" i="80"/>
  <c r="G17" i="80"/>
  <c r="G16" i="80"/>
  <c r="G15" i="80"/>
  <c r="G13" i="80"/>
  <c r="G12" i="80"/>
  <c r="F13" i="80"/>
  <c r="F12" i="80"/>
  <c r="F11" i="80"/>
  <c r="E13" i="80"/>
  <c r="E12" i="80"/>
  <c r="E11" i="80"/>
  <c r="D13" i="80"/>
  <c r="D12" i="80"/>
  <c r="D11" i="80"/>
  <c r="C13" i="80"/>
  <c r="C12" i="80"/>
  <c r="C11" i="80"/>
  <c r="G9" i="80"/>
  <c r="G8" i="80"/>
  <c r="G7" i="80"/>
  <c r="F8" i="80"/>
  <c r="F9" i="80"/>
  <c r="F7" i="80"/>
  <c r="E9" i="80"/>
  <c r="E8" i="80"/>
  <c r="E7" i="80"/>
  <c r="D9" i="80"/>
  <c r="D8" i="80"/>
  <c r="D7" i="80"/>
  <c r="C9" i="80"/>
  <c r="I9" i="80" s="1"/>
  <c r="C8" i="80"/>
  <c r="C7" i="80"/>
  <c r="I7" i="80" s="1"/>
  <c r="C4" i="80"/>
  <c r="I4" i="80" s="1"/>
  <c r="C5" i="80"/>
  <c r="C3" i="80"/>
  <c r="G5" i="80"/>
  <c r="G4" i="80"/>
  <c r="F5" i="80"/>
  <c r="F4" i="80"/>
  <c r="E5" i="80"/>
  <c r="E4" i="80"/>
  <c r="D5" i="80"/>
  <c r="D4" i="80"/>
  <c r="G3" i="80"/>
  <c r="F3" i="80"/>
  <c r="E3" i="80"/>
  <c r="D3" i="80"/>
  <c r="I8" i="80" l="1"/>
  <c r="I11" i="80"/>
  <c r="I12" i="80"/>
  <c r="I15" i="80"/>
  <c r="I3" i="80"/>
  <c r="I20" i="80"/>
  <c r="I13" i="80"/>
  <c r="I16" i="80"/>
  <c r="I17" i="80"/>
  <c r="I19" i="80"/>
  <c r="I5" i="80"/>
  <c r="I21" i="80"/>
  <c r="G26" i="61"/>
  <c r="G26" i="60"/>
  <c r="F42" i="80"/>
  <c r="G26" i="59"/>
  <c r="G26" i="58"/>
  <c r="D30" i="80"/>
  <c r="E30" i="80"/>
  <c r="F30" i="80"/>
  <c r="D42" i="80"/>
  <c r="E42" i="80"/>
  <c r="G42" i="80"/>
  <c r="C42" i="80"/>
  <c r="G26" i="43"/>
  <c r="G58" i="80"/>
  <c r="F58" i="80"/>
  <c r="E58" i="80"/>
  <c r="D58" i="80"/>
  <c r="C58" i="80"/>
  <c r="I57" i="80"/>
  <c r="I56" i="80"/>
  <c r="I55" i="80"/>
  <c r="G54" i="80"/>
  <c r="F54" i="80"/>
  <c r="E54" i="80"/>
  <c r="D54" i="80"/>
  <c r="C54" i="80"/>
  <c r="G50" i="80"/>
  <c r="F50" i="80"/>
  <c r="E50" i="80"/>
  <c r="D50" i="80"/>
  <c r="C50" i="80"/>
  <c r="G46" i="80"/>
  <c r="F46" i="80"/>
  <c r="E46" i="80"/>
  <c r="D46" i="80"/>
  <c r="C46" i="80"/>
  <c r="I46" i="80" s="1"/>
  <c r="I45" i="80"/>
  <c r="I44" i="80"/>
  <c r="I43" i="80"/>
  <c r="G38" i="80"/>
  <c r="F38" i="80"/>
  <c r="E38" i="80"/>
  <c r="D38" i="80"/>
  <c r="C38" i="80"/>
  <c r="C30" i="80"/>
  <c r="G26" i="80"/>
  <c r="F26" i="80"/>
  <c r="E26" i="80"/>
  <c r="D26" i="80"/>
  <c r="C26" i="80"/>
  <c r="G22" i="80"/>
  <c r="F22" i="80"/>
  <c r="E22" i="80"/>
  <c r="D22" i="80"/>
  <c r="C22" i="80"/>
  <c r="G18" i="80"/>
  <c r="F18" i="80"/>
  <c r="E18" i="80"/>
  <c r="D18" i="80"/>
  <c r="C18" i="80"/>
  <c r="G14" i="80"/>
  <c r="F14" i="80"/>
  <c r="E14" i="80"/>
  <c r="D14" i="80"/>
  <c r="C14" i="80"/>
  <c r="G10" i="80"/>
  <c r="F10" i="80"/>
  <c r="E10" i="80"/>
  <c r="D10" i="80"/>
  <c r="C10" i="80"/>
  <c r="G6" i="80"/>
  <c r="F6" i="80"/>
  <c r="E6" i="80"/>
  <c r="D6" i="80"/>
  <c r="C6" i="80"/>
  <c r="I58" i="80" l="1"/>
  <c r="I34" i="80"/>
  <c r="I10" i="80"/>
  <c r="I54" i="80"/>
  <c r="I50" i="80"/>
  <c r="I42" i="80"/>
  <c r="I38" i="80"/>
  <c r="I30" i="80"/>
  <c r="C59" i="80"/>
  <c r="I26" i="80"/>
  <c r="I22" i="80"/>
  <c r="I18" i="80"/>
  <c r="I14" i="80"/>
  <c r="I6" i="80"/>
  <c r="G59" i="80"/>
  <c r="F59" i="80"/>
  <c r="E59" i="80"/>
  <c r="D59" i="80"/>
  <c r="G14" i="43"/>
  <c r="I59" i="80" l="1"/>
  <c r="K60" i="61"/>
  <c r="K61" i="61"/>
  <c r="K42" i="61"/>
  <c r="K43" i="61"/>
  <c r="K44" i="61"/>
  <c r="K45" i="61"/>
  <c r="K46" i="61"/>
  <c r="K47" i="61"/>
  <c r="K48" i="61"/>
  <c r="K49" i="61"/>
  <c r="K50" i="61"/>
  <c r="K51" i="61"/>
  <c r="K52" i="61"/>
  <c r="K53" i="61"/>
  <c r="K54" i="61"/>
  <c r="K55" i="61"/>
  <c r="K56" i="61"/>
  <c r="K57" i="61"/>
  <c r="K58" i="61"/>
  <c r="K59" i="61"/>
  <c r="K41" i="61"/>
  <c r="K60" i="60"/>
  <c r="K61" i="60"/>
  <c r="K42" i="60"/>
  <c r="K43" i="60"/>
  <c r="K44" i="60"/>
  <c r="K45" i="60"/>
  <c r="K46" i="60"/>
  <c r="K47" i="60"/>
  <c r="K48" i="60"/>
  <c r="K49" i="60"/>
  <c r="K50" i="60"/>
  <c r="K51" i="60"/>
  <c r="K52" i="60"/>
  <c r="K53" i="60"/>
  <c r="K54" i="60"/>
  <c r="K55" i="60"/>
  <c r="K56" i="60"/>
  <c r="K57" i="60"/>
  <c r="K58" i="60"/>
  <c r="K59" i="60"/>
  <c r="K41" i="60"/>
  <c r="K59" i="59"/>
  <c r="K60" i="59"/>
  <c r="K41" i="59"/>
  <c r="K42" i="59"/>
  <c r="K43" i="59"/>
  <c r="K44" i="59"/>
  <c r="K45" i="59"/>
  <c r="K46" i="59"/>
  <c r="K47" i="59"/>
  <c r="K48" i="59"/>
  <c r="K49" i="59"/>
  <c r="K50" i="59"/>
  <c r="K51" i="59"/>
  <c r="K52" i="59"/>
  <c r="K53" i="59"/>
  <c r="K54" i="59"/>
  <c r="K55" i="59"/>
  <c r="K56" i="59"/>
  <c r="K57" i="59"/>
  <c r="K58" i="59"/>
  <c r="K40" i="59"/>
  <c r="K60" i="58"/>
  <c r="K61" i="58"/>
  <c r="K61" i="43"/>
  <c r="G29" i="61" l="1"/>
  <c r="G29" i="60"/>
  <c r="G29" i="59"/>
  <c r="G29" i="58"/>
  <c r="G29" i="43"/>
  <c r="G28" i="61" l="1"/>
  <c r="G27" i="61"/>
  <c r="G25" i="61"/>
  <c r="G24" i="61"/>
  <c r="G23" i="61"/>
  <c r="G15" i="61"/>
  <c r="G14" i="61"/>
  <c r="G13" i="61"/>
  <c r="G12" i="61"/>
  <c r="G11" i="61"/>
  <c r="G10" i="61"/>
  <c r="G9" i="61"/>
  <c r="G28" i="60"/>
  <c r="G27" i="60"/>
  <c r="G25" i="60"/>
  <c r="G24" i="60"/>
  <c r="G23" i="60"/>
  <c r="G15" i="60"/>
  <c r="G14" i="60"/>
  <c r="G13" i="60"/>
  <c r="G12" i="60"/>
  <c r="G11" i="60"/>
  <c r="G10" i="60"/>
  <c r="G9" i="60"/>
  <c r="G28" i="59"/>
  <c r="G27" i="59"/>
  <c r="G25" i="59"/>
  <c r="G24" i="59"/>
  <c r="G23" i="59"/>
  <c r="G15" i="59"/>
  <c r="G14" i="59"/>
  <c r="G13" i="59"/>
  <c r="G12" i="59"/>
  <c r="G11" i="59"/>
  <c r="G10" i="59"/>
  <c r="G9" i="59"/>
  <c r="G28" i="43"/>
  <c r="G27" i="43"/>
  <c r="G25" i="43"/>
  <c r="G24" i="43"/>
  <c r="G23" i="43"/>
  <c r="G15" i="43"/>
  <c r="G13" i="43"/>
  <c r="G12" i="43"/>
  <c r="G11" i="43"/>
  <c r="G10" i="43"/>
  <c r="G9" i="43"/>
  <c r="G28" i="58"/>
  <c r="G27" i="58"/>
  <c r="G25" i="58"/>
  <c r="G24" i="58"/>
  <c r="G23" i="58"/>
  <c r="G15" i="58"/>
  <c r="G14" i="58"/>
  <c r="G13" i="58"/>
  <c r="G12" i="58"/>
  <c r="G11" i="58"/>
  <c r="G10" i="58"/>
  <c r="G9" i="58"/>
  <c r="G30" i="61" l="1"/>
  <c r="G30" i="60"/>
  <c r="G30" i="59"/>
  <c r="G30" i="58"/>
  <c r="G30" i="43"/>
</calcChain>
</file>

<file path=xl/sharedStrings.xml><?xml version="1.0" encoding="utf-8"?>
<sst xmlns="http://schemas.openxmlformats.org/spreadsheetml/2006/main" count="562" uniqueCount="107">
  <si>
    <t>FECHA:</t>
  </si>
  <si>
    <t>Nº</t>
  </si>
  <si>
    <t>LA CASA DE LA CAÑA, C.A. (T. ALTERNA)</t>
  </si>
  <si>
    <t>LA CASA DE LA CAÑA, C.A. (T. NVA. BARCELONA)</t>
  </si>
  <si>
    <t>OPERADORA EL MERCADO 2011, C.A. (T. MERCADO)</t>
  </si>
  <si>
    <t>OPERADORA PUERTO LA CRUZ 2011, C.A. (T. PUERTO LA CRUZ)</t>
  </si>
  <si>
    <t>RELIVE, C.A. (T. TERRAZAS)</t>
  </si>
  <si>
    <t>RELIVE, C.A. (T. TIGRE III)</t>
  </si>
  <si>
    <t>ESCANER DE CODIGO DE BARRAS</t>
  </si>
  <si>
    <t>EQUIPOS</t>
  </si>
  <si>
    <t>TIENDAS</t>
  </si>
  <si>
    <t>CHECK LIST DE EXISTENCIA DE EQUIPOS EN TIENDAS</t>
  </si>
  <si>
    <t>HOUSE TICKET</t>
  </si>
  <si>
    <t>SI</t>
  </si>
  <si>
    <t>NO</t>
  </si>
  <si>
    <t>SUICHE</t>
  </si>
  <si>
    <t>ROUTER</t>
  </si>
  <si>
    <t>REGULADORES</t>
  </si>
  <si>
    <t>EFECTIVIDAD</t>
  </si>
  <si>
    <t>IMPRESORAS FISCALES</t>
  </si>
  <si>
    <t>Código:</t>
  </si>
  <si>
    <t>Revisión:</t>
  </si>
  <si>
    <t>Fecha:</t>
  </si>
  <si>
    <t>MOUSE</t>
  </si>
  <si>
    <t>CPU</t>
  </si>
  <si>
    <t>MONITORES</t>
  </si>
  <si>
    <t>TECLADOS</t>
  </si>
  <si>
    <t>SUCURSAL:</t>
  </si>
  <si>
    <t>OBSERVACIONES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</si>
  <si>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</si>
  <si>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</si>
  <si>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</si>
  <si>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</si>
  <si>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</si>
  <si>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</si>
  <si>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</si>
  <si>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</si>
  <si>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</si>
  <si>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</si>
  <si>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</si>
  <si>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</si>
  <si>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</si>
  <si>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LA CASA DE LA CAÑA, C.A. (T. ANACO)</t>
  </si>
  <si>
    <t>FO-MIS-03</t>
  </si>
  <si>
    <t>INVENTARIO REAL</t>
  </si>
  <si>
    <t>EQUIPOS OPERATIVOS</t>
  </si>
  <si>
    <t>INVENTARIO IDEAL</t>
  </si>
  <si>
    <t>CABLEADO</t>
  </si>
  <si>
    <t>INVENTARIO</t>
  </si>
  <si>
    <t>IMPRESORA MULTIFUNCIONAL</t>
  </si>
  <si>
    <t>MODEM</t>
  </si>
  <si>
    <t>TOTAL  DE EFECTIVIDAD DE EQUIPOS</t>
  </si>
  <si>
    <t>NOTA: El check list de Existencia de Equipos en Tiendas debe ser enviado entre los 5 primeros días del mes, vía correo electrónico al grupo Sistemas, con copia al Director de Servicios de Control.</t>
  </si>
  <si>
    <t>Realizado Por:</t>
  </si>
  <si>
    <t>DVR</t>
  </si>
  <si>
    <t>Cargo</t>
  </si>
  <si>
    <t>Nº ULT. REPORTE Z:</t>
  </si>
  <si>
    <t>SERIAL 1:</t>
  </si>
  <si>
    <t>SERIAL 2:</t>
  </si>
  <si>
    <t>SERIAL 3:</t>
  </si>
  <si>
    <t>SERIAL 4:</t>
  </si>
  <si>
    <t>SERIAL 5:</t>
  </si>
  <si>
    <t>SERIAL 6:</t>
  </si>
  <si>
    <t>SERIAL 7:</t>
  </si>
  <si>
    <t>LIBROS DE IMPRESORAS FISCALES</t>
  </si>
  <si>
    <t>LA CASA DE LA CAÑA, C.A. (T. CUMANÁ)</t>
  </si>
  <si>
    <t>LA CASA DE LA CAÑA, C.A. (T. MATURÍN I)</t>
  </si>
  <si>
    <t>LA CASA DE LA CAÑA, C.A. (T. MATURÍN II)</t>
  </si>
  <si>
    <t>OPERADORA EL PUENTE 2011, C.A. (T. PUENTE REAL)</t>
  </si>
  <si>
    <t>OPERADORA LECHERÍA 2011, C.A. (T. LECHERÍA)</t>
  </si>
  <si>
    <t>OPERADORA PUERTO ORDAZ 2013, C.A.(T. PUERTO ORDAZ)</t>
  </si>
  <si>
    <t>RELIVE, C.A. (T. CHUPARÍN)</t>
  </si>
  <si>
    <t>RELIVE, C.A. (T. TIGRE II)</t>
  </si>
  <si>
    <t>******SUCURSALES</t>
  </si>
  <si>
    <t>INVERSIONES CAÑANDONGA,C.A (T. CONEJERO)</t>
  </si>
  <si>
    <t>OPERADORA LAS AMERICAS, C.A</t>
  </si>
  <si>
    <t>OPERADORA PLAZA DEL SOL 2015, C.A</t>
  </si>
  <si>
    <t>07</t>
  </si>
  <si>
    <t>TIENDA LOS ROBLES C.A</t>
  </si>
  <si>
    <t>TIENDA LA FUENTE 2021 C.A</t>
  </si>
  <si>
    <t>TIENDA PLAYA EL ANGEL C.A</t>
  </si>
  <si>
    <t>Ayudante Especial</t>
  </si>
  <si>
    <t>Aderso Gutierrez</t>
  </si>
  <si>
    <t>Mariana Salazar</t>
  </si>
  <si>
    <t>TOTAL</t>
  </si>
  <si>
    <t>Inv. Ideal</t>
  </si>
  <si>
    <t>Inv. Real</t>
  </si>
  <si>
    <t>Equi. Ope.</t>
  </si>
  <si>
    <t>Efect.</t>
  </si>
  <si>
    <t>DVR´S</t>
  </si>
  <si>
    <t>CON</t>
  </si>
  <si>
    <t>PLA</t>
  </si>
  <si>
    <t>ROB</t>
  </si>
  <si>
    <t>FUE</t>
  </si>
  <si>
    <t>ANG</t>
  </si>
  <si>
    <t>% Efectividad en Equipos</t>
  </si>
  <si>
    <t>VISOR DE VENTAS</t>
  </si>
  <si>
    <t>Jesus Fuente</t>
  </si>
  <si>
    <t>2 Impresora Con IGTF</t>
  </si>
  <si>
    <t>Carolina Hernandez</t>
  </si>
  <si>
    <t>TIENDA AEROPUERTO</t>
  </si>
  <si>
    <t>TIENDA PLAYA EL ANGEL</t>
  </si>
  <si>
    <t>AERO</t>
  </si>
  <si>
    <t>Anthony Alfonso</t>
  </si>
  <si>
    <t>Humberto Malave</t>
  </si>
  <si>
    <t>Gerente De Base Margarita</t>
  </si>
  <si>
    <t>Se Formateo e instalo caja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</si>
</sst>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87">
    <xf numFmtId="0" fontId="0" fillId="0" borderId="0" xfId="0"/>
    <xf numFmtId="0" fontId="0" fillId="0" borderId="0" xfId="0"/>
    <xf numFmtId="0" fontId="0" fillId="0" borderId="0" xfId="0" applyProtection="1"/>
    <xf numFmtId="0" fontId="0" fillId="0" borderId="0" xfId="0" applyBorder="1" applyAlignment="1" applyProtection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 applyProtection="1">
      <alignment horizontal="center"/>
    </xf>
    <xf numFmtId="0" fontId="0" fillId="0" borderId="1" xfId="0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/>
    </xf>
    <xf numFmtId="0" fontId="1" fillId="2" borderId="8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vertical="center"/>
      <protection locked="0"/>
    </xf>
    <xf numFmtId="14" fontId="0" fillId="0" borderId="0" xfId="0" applyNumberFormat="1" applyBorder="1" applyAlignment="1" applyProtection="1">
      <alignment horizontal="center"/>
    </xf>
    <xf numFmtId="0" fontId="1" fillId="0" borderId="0" xfId="0" applyFont="1" applyBorder="1" applyAlignment="1" applyProtection="1">
      <alignment vertical="center" wrapText="1"/>
    </xf>
    <xf numFmtId="0" fontId="1" fillId="0" borderId="0" xfId="0" applyFont="1" applyAlignment="1" applyProtection="1">
      <alignment horizontal="right"/>
    </xf>
    <xf numFmtId="0" fontId="1" fillId="2" borderId="11" xfId="0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 wrapText="1"/>
    </xf>
    <xf numFmtId="0" fontId="1" fillId="0" borderId="0" xfId="0" applyFont="1" applyBorder="1" applyAlignment="1" applyProtection="1">
      <alignment horizontal="left"/>
    </xf>
    <xf numFmtId="14" fontId="0" fillId="0" borderId="0" xfId="0" applyNumberFormat="1" applyBorder="1" applyAlignment="1" applyProtection="1"/>
    <xf numFmtId="0" fontId="1" fillId="2" borderId="12" xfId="0" applyFont="1" applyFill="1" applyBorder="1" applyAlignment="1" applyProtection="1">
      <alignment horizontal="center" vertical="center" wrapText="1"/>
    </xf>
    <xf numFmtId="0" fontId="1" fillId="0" borderId="0" xfId="0" applyFont="1" applyAlignment="1">
      <alignment horizontal="center" wrapText="1"/>
    </xf>
    <xf numFmtId="9" fontId="0" fillId="0" borderId="1" xfId="1" applyFont="1" applyBorder="1" applyAlignment="1" applyProtection="1">
      <alignment horizontal="center" vertical="center" wrapText="1"/>
    </xf>
    <xf numFmtId="0" fontId="0" fillId="0" borderId="0" xfId="0" applyFill="1" applyProtection="1"/>
    <xf numFmtId="0" fontId="0" fillId="0" borderId="0" xfId="0" applyFill="1" applyBorder="1" applyAlignment="1" applyProtection="1">
      <alignment horizontal="center" vertical="center" wrapText="1"/>
      <protection locked="0"/>
    </xf>
    <xf numFmtId="0" fontId="0" fillId="0" borderId="0" xfId="0" applyFill="1" applyBorder="1" applyProtection="1"/>
    <xf numFmtId="0" fontId="1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1" xfId="0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right" wrapText="1"/>
    </xf>
    <xf numFmtId="49" fontId="7" fillId="0" borderId="1" xfId="0" applyNumberFormat="1" applyFont="1" applyBorder="1" applyAlignment="1" applyProtection="1">
      <alignment horizontal="center" wrapText="1"/>
    </xf>
    <xf numFmtId="0" fontId="5" fillId="0" borderId="0" xfId="0" applyFont="1" applyBorder="1" applyAlignment="1" applyProtection="1">
      <alignment horizontal="right" wrapText="1"/>
    </xf>
    <xf numFmtId="14" fontId="4" fillId="0" borderId="0" xfId="0" applyNumberFormat="1" applyFont="1" applyBorder="1" applyAlignment="1" applyProtection="1">
      <alignment horizontal="center" wrapText="1"/>
    </xf>
    <xf numFmtId="0" fontId="0" fillId="0" borderId="0" xfId="0" applyFill="1" applyBorder="1" applyAlignment="1" applyProtection="1">
      <alignment horizontal="center" vertical="center"/>
    </xf>
    <xf numFmtId="0" fontId="0" fillId="0" borderId="0" xfId="0" applyFont="1" applyBorder="1" applyAlignment="1" applyProtection="1">
      <alignment horizontal="center" vertical="top" wrapText="1"/>
    </xf>
    <xf numFmtId="0" fontId="0" fillId="0" borderId="0" xfId="0" applyFill="1" applyBorder="1" applyAlignment="1" applyProtection="1">
      <alignment horizontal="center" vertical="center" wrapText="1"/>
    </xf>
    <xf numFmtId="0" fontId="1" fillId="0" borderId="0" xfId="0" applyFont="1" applyFill="1" applyBorder="1" applyAlignment="1" applyProtection="1">
      <alignment vertical="top" wrapText="1"/>
    </xf>
    <xf numFmtId="0" fontId="1" fillId="0" borderId="0" xfId="0" applyFont="1" applyFill="1" applyBorder="1" applyAlignment="1" applyProtection="1">
      <alignment wrapText="1"/>
    </xf>
    <xf numFmtId="0" fontId="0" fillId="0" borderId="0" xfId="0" applyFill="1" applyBorder="1" applyAlignment="1" applyProtection="1">
      <alignment vertical="center" wrapText="1"/>
      <protection locked="0"/>
    </xf>
    <xf numFmtId="0" fontId="1" fillId="0" borderId="0" xfId="0" applyFont="1" applyBorder="1" applyAlignment="1" applyProtection="1">
      <alignment horizontal="center"/>
    </xf>
    <xf numFmtId="0" fontId="9" fillId="0" borderId="0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</xf>
    <xf numFmtId="0" fontId="1" fillId="0" borderId="0" xfId="0" applyFont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 vertical="center" wrapText="1"/>
    </xf>
    <xf numFmtId="0" fontId="1" fillId="2" borderId="8" xfId="0" applyFont="1" applyFill="1" applyBorder="1" applyAlignment="1" applyProtection="1">
      <alignment horizontal="center" vertical="center"/>
    </xf>
    <xf numFmtId="9" fontId="0" fillId="0" borderId="7" xfId="1" applyFont="1" applyBorder="1" applyAlignment="1" applyProtection="1">
      <alignment horizontal="center" vertical="center" wrapText="1"/>
    </xf>
    <xf numFmtId="0" fontId="0" fillId="0" borderId="7" xfId="0" applyBorder="1" applyAlignment="1" applyProtection="1">
      <alignment horizontal="center" vertical="center" wrapText="1"/>
      <protection locked="0"/>
    </xf>
    <xf numFmtId="0" fontId="0" fillId="0" borderId="0" xfId="0" applyBorder="1" applyAlignment="1">
      <alignment vertical="center"/>
    </xf>
    <xf numFmtId="0" fontId="3" fillId="5" borderId="1" xfId="0" applyFont="1" applyFill="1" applyBorder="1" applyProtection="1"/>
    <xf numFmtId="14" fontId="7" fillId="0" borderId="1" xfId="0" applyNumberFormat="1" applyFont="1" applyBorder="1" applyAlignment="1" applyProtection="1">
      <alignment horizontal="center" wrapText="1"/>
    </xf>
    <xf numFmtId="0" fontId="10" fillId="0" borderId="0" xfId="0" applyFont="1" applyProtection="1"/>
    <xf numFmtId="0" fontId="11" fillId="7" borderId="25" xfId="0" applyFont="1" applyFill="1" applyBorder="1" applyAlignment="1" applyProtection="1">
      <alignment horizontal="center" vertical="center" wrapText="1"/>
    </xf>
    <xf numFmtId="0" fontId="11" fillId="7" borderId="13" xfId="0" applyFont="1" applyFill="1" applyBorder="1" applyAlignment="1" applyProtection="1">
      <alignment horizontal="center" vertical="center" wrapText="1"/>
    </xf>
    <xf numFmtId="0" fontId="3" fillId="2" borderId="27" xfId="0" applyFont="1" applyFill="1" applyBorder="1" applyAlignment="1" applyProtection="1">
      <alignment horizontal="left" vertical="center" wrapText="1"/>
    </xf>
    <xf numFmtId="0" fontId="3" fillId="0" borderId="28" xfId="0" applyFont="1" applyBorder="1" applyAlignment="1">
      <alignment horizontal="center" vertical="center"/>
    </xf>
    <xf numFmtId="0" fontId="11" fillId="8" borderId="29" xfId="0" applyFont="1" applyFill="1" applyBorder="1" applyAlignment="1">
      <alignment horizontal="center"/>
    </xf>
    <xf numFmtId="0" fontId="3" fillId="2" borderId="30" xfId="0" applyFont="1" applyFill="1" applyBorder="1" applyAlignment="1" applyProtection="1">
      <alignment horizontal="left" vertical="center" wrapText="1"/>
    </xf>
    <xf numFmtId="0" fontId="3" fillId="0" borderId="31" xfId="0" applyFont="1" applyBorder="1" applyAlignment="1">
      <alignment horizontal="center" vertical="center"/>
    </xf>
    <xf numFmtId="0" fontId="11" fillId="9" borderId="33" xfId="0" applyFont="1" applyFill="1" applyBorder="1" applyAlignment="1" applyProtection="1">
      <alignment horizontal="right" vertical="center" wrapText="1"/>
    </xf>
    <xf numFmtId="9" fontId="11" fillId="9" borderId="34" xfId="1" applyFont="1" applyFill="1" applyBorder="1" applyAlignment="1">
      <alignment horizontal="center" vertical="center"/>
    </xf>
    <xf numFmtId="9" fontId="11" fillId="8" borderId="34" xfId="1" applyFont="1" applyFill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1" fontId="3" fillId="0" borderId="28" xfId="0" applyNumberFormat="1" applyFont="1" applyBorder="1" applyAlignment="1">
      <alignment horizontal="center" vertical="center"/>
    </xf>
    <xf numFmtId="0" fontId="11" fillId="8" borderId="29" xfId="0" applyNumberFormat="1" applyFont="1" applyFill="1" applyBorder="1" applyAlignment="1">
      <alignment horizontal="center"/>
    </xf>
    <xf numFmtId="9" fontId="11" fillId="9" borderId="37" xfId="1" applyFont="1" applyFill="1" applyBorder="1" applyAlignment="1">
      <alignment horizontal="center" vertical="center"/>
    </xf>
    <xf numFmtId="9" fontId="11" fillId="8" borderId="37" xfId="1" applyFont="1" applyFill="1" applyBorder="1" applyAlignment="1">
      <alignment horizontal="center" vertical="center"/>
    </xf>
    <xf numFmtId="0" fontId="3" fillId="2" borderId="8" xfId="0" applyFont="1" applyFill="1" applyBorder="1" applyAlignment="1" applyProtection="1">
      <alignment horizontal="left" vertical="center" wrapText="1"/>
    </xf>
    <xf numFmtId="0" fontId="11" fillId="8" borderId="36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left" vertical="center" wrapText="1"/>
    </xf>
    <xf numFmtId="9" fontId="11" fillId="6" borderId="40" xfId="0" applyNumberFormat="1" applyFont="1" applyFill="1" applyBorder="1" applyAlignment="1">
      <alignment horizontal="center" vertical="center"/>
    </xf>
    <xf numFmtId="0" fontId="0" fillId="4" borderId="5" xfId="0" applyFill="1" applyBorder="1" applyAlignment="1" applyProtection="1">
      <alignment horizontal="center" vertical="center" wrapText="1"/>
    </xf>
    <xf numFmtId="0" fontId="0" fillId="4" borderId="16" xfId="0" applyFill="1" applyBorder="1" applyAlignment="1" applyProtection="1">
      <alignment horizontal="center" vertical="center" wrapText="1"/>
    </xf>
    <xf numFmtId="0" fontId="0" fillId="4" borderId="18" xfId="0" applyFill="1" applyBorder="1" applyAlignment="1" applyProtection="1">
      <alignment horizontal="center" vertical="center" wrapText="1"/>
    </xf>
    <xf numFmtId="0" fontId="0" fillId="4" borderId="12" xfId="0" applyFill="1" applyBorder="1" applyAlignment="1" applyProtection="1">
      <alignment horizontal="center" vertical="center" wrapText="1"/>
    </xf>
    <xf numFmtId="0" fontId="0" fillId="4" borderId="0" xfId="0" applyFill="1" applyBorder="1" applyAlignment="1" applyProtection="1">
      <alignment horizontal="center" vertical="center" wrapText="1"/>
    </xf>
    <xf numFmtId="0" fontId="0" fillId="0" borderId="0" xfId="0" applyBorder="1" applyProtection="1"/>
    <xf numFmtId="0" fontId="0" fillId="10" borderId="0" xfId="0" applyFill="1" applyBorder="1" applyAlignment="1" applyProtection="1">
      <alignment horizontal="center" vertical="center" wrapText="1"/>
    </xf>
    <xf numFmtId="0" fontId="3" fillId="0" borderId="28" xfId="0" applyNumberFormat="1" applyFont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9" fontId="0" fillId="0" borderId="7" xfId="1" applyFont="1" applyBorder="1" applyAlignment="1" applyProtection="1">
      <alignment horizontal="center" vertical="center" wrapText="1"/>
    </xf>
    <xf numFmtId="0" fontId="0" fillId="0" borderId="7" xfId="0" applyBorder="1" applyAlignment="1" applyProtection="1">
      <alignment horizontal="center" vertical="center" wrapText="1"/>
    </xf>
    <xf numFmtId="0" fontId="1" fillId="2" borderId="8" xfId="0" applyFont="1" applyFill="1" applyBorder="1" applyAlignment="1" applyProtection="1">
      <alignment horizontal="center" vertical="center"/>
    </xf>
    <xf numFmtId="0" fontId="3" fillId="0" borderId="31" xfId="0" applyNumberFormat="1" applyFont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center"/>
    </xf>
    <xf numFmtId="0" fontId="1" fillId="2" borderId="8" xfId="0" applyFont="1" applyFill="1" applyBorder="1" applyAlignment="1" applyProtection="1">
      <alignment horizontal="center" vertical="center"/>
    </xf>
    <xf numFmtId="0" fontId="1" fillId="2" borderId="11" xfId="0" applyFont="1" applyFill="1" applyBorder="1" applyAlignment="1" applyProtection="1">
      <alignment horizontal="center" vertical="center"/>
    </xf>
    <xf numFmtId="0" fontId="1" fillId="2" borderId="12" xfId="0" applyFont="1" applyFill="1" applyBorder="1" applyAlignment="1" applyProtection="1">
      <alignment horizontal="center" vertical="center"/>
    </xf>
    <xf numFmtId="0" fontId="0" fillId="0" borderId="2" xfId="0" applyBorder="1" applyAlignment="1" applyProtection="1">
      <alignment vertical="center" wrapText="1"/>
    </xf>
    <xf numFmtId="0" fontId="0" fillId="0" borderId="4" xfId="0" applyBorder="1" applyAlignment="1" applyProtection="1">
      <alignment vertical="center" wrapText="1"/>
    </xf>
    <xf numFmtId="0" fontId="0" fillId="0" borderId="2" xfId="0" applyFill="1" applyBorder="1" applyAlignment="1" applyProtection="1">
      <alignment vertical="center" wrapText="1"/>
    </xf>
    <xf numFmtId="0" fontId="0" fillId="0" borderId="4" xfId="0" applyFill="1" applyBorder="1" applyAlignment="1" applyProtection="1">
      <alignment vertical="center" wrapText="1"/>
    </xf>
    <xf numFmtId="0" fontId="0" fillId="0" borderId="1" xfId="0" applyBorder="1" applyAlignment="1" applyProtection="1">
      <alignment horizontal="center"/>
    </xf>
    <xf numFmtId="0" fontId="0" fillId="0" borderId="18" xfId="0" applyFont="1" applyBorder="1" applyAlignment="1" applyProtection="1">
      <alignment horizontal="center" vertical="center" wrapText="1"/>
    </xf>
    <xf numFmtId="14" fontId="0" fillId="0" borderId="18" xfId="0" applyNumberFormat="1" applyBorder="1" applyAlignment="1" applyProtection="1">
      <alignment horizontal="center"/>
      <protection locked="0"/>
    </xf>
    <xf numFmtId="0" fontId="7" fillId="0" borderId="16" xfId="0" applyFont="1" applyBorder="1" applyAlignment="1" applyProtection="1">
      <alignment horizontal="center" wrapText="1"/>
    </xf>
    <xf numFmtId="0" fontId="7" fillId="0" borderId="6" xfId="0" applyFont="1" applyBorder="1" applyAlignment="1" applyProtection="1">
      <alignment horizontal="center" wrapText="1"/>
    </xf>
    <xf numFmtId="14" fontId="7" fillId="0" borderId="2" xfId="0" applyNumberFormat="1" applyFont="1" applyBorder="1" applyAlignment="1" applyProtection="1">
      <alignment horizontal="center" wrapText="1"/>
    </xf>
    <xf numFmtId="14" fontId="7" fillId="0" borderId="4" xfId="0" applyNumberFormat="1" applyFont="1" applyBorder="1" applyAlignment="1" applyProtection="1">
      <alignment horizontal="center" wrapText="1"/>
    </xf>
    <xf numFmtId="0" fontId="1" fillId="0" borderId="5" xfId="0" applyFont="1" applyBorder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center" vertical="center" wrapText="1"/>
    </xf>
    <xf numFmtId="0" fontId="1" fillId="0" borderId="17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1" fillId="0" borderId="15" xfId="0" applyFont="1" applyBorder="1" applyAlignment="1" applyProtection="1">
      <alignment horizontal="center" vertical="center" wrapText="1"/>
    </xf>
    <xf numFmtId="0" fontId="1" fillId="0" borderId="11" xfId="0" applyFont="1" applyBorder="1" applyAlignment="1" applyProtection="1">
      <alignment horizontal="center" vertical="center" wrapText="1"/>
    </xf>
    <xf numFmtId="0" fontId="1" fillId="0" borderId="18" xfId="0" applyFont="1" applyBorder="1" applyAlignment="1" applyProtection="1">
      <alignment horizontal="center" vertical="center" wrapText="1"/>
    </xf>
    <xf numFmtId="0" fontId="1" fillId="0" borderId="12" xfId="0" applyFont="1" applyBorder="1" applyAlignment="1" applyProtection="1">
      <alignment horizontal="center" vertical="center" wrapText="1"/>
    </xf>
    <xf numFmtId="9" fontId="0" fillId="0" borderId="7" xfId="1" applyFont="1" applyBorder="1" applyAlignment="1" applyProtection="1">
      <alignment horizontal="center" vertical="center" wrapText="1"/>
    </xf>
    <xf numFmtId="9" fontId="0" fillId="0" borderId="14" xfId="1" applyFont="1" applyBorder="1" applyAlignment="1" applyProtection="1">
      <alignment horizontal="center" vertical="center" wrapText="1"/>
    </xf>
    <xf numFmtId="9" fontId="0" fillId="0" borderId="8" xfId="1" applyFont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/>
      <protection locked="0"/>
    </xf>
    <xf numFmtId="0" fontId="3" fillId="0" borderId="3" xfId="0" applyFont="1" applyFill="1" applyBorder="1" applyAlignment="1" applyProtection="1">
      <alignment horizontal="center"/>
      <protection locked="0"/>
    </xf>
    <xf numFmtId="0" fontId="3" fillId="0" borderId="4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left" vertical="center" wrapText="1"/>
    </xf>
    <xf numFmtId="0" fontId="0" fillId="0" borderId="6" xfId="0" applyBorder="1" applyAlignment="1" applyProtection="1">
      <alignment horizontal="left" vertical="center" wrapText="1"/>
    </xf>
    <xf numFmtId="0" fontId="0" fillId="0" borderId="17" xfId="0" applyBorder="1" applyAlignment="1" applyProtection="1">
      <alignment horizontal="left" vertical="center" wrapText="1"/>
    </xf>
    <xf numFmtId="0" fontId="0" fillId="0" borderId="15" xfId="0" applyBorder="1" applyAlignment="1" applyProtection="1">
      <alignment horizontal="left" vertical="center" wrapText="1"/>
    </xf>
    <xf numFmtId="0" fontId="0" fillId="0" borderId="11" xfId="0" applyBorder="1" applyAlignment="1" applyProtection="1">
      <alignment horizontal="left" vertical="center" wrapText="1"/>
    </xf>
    <xf numFmtId="0" fontId="0" fillId="0" borderId="12" xfId="0" applyBorder="1" applyAlignment="1" applyProtection="1">
      <alignment horizontal="left" vertical="center" wrapText="1"/>
    </xf>
    <xf numFmtId="0" fontId="0" fillId="0" borderId="7" xfId="0" applyBorder="1" applyAlignment="1" applyProtection="1">
      <alignment horizontal="center" vertical="center" wrapText="1"/>
    </xf>
    <xf numFmtId="0" fontId="0" fillId="0" borderId="14" xfId="0" applyBorder="1" applyAlignment="1" applyProtection="1">
      <alignment horizontal="center" vertical="center" wrapText="1"/>
    </xf>
    <xf numFmtId="0" fontId="0" fillId="0" borderId="8" xfId="0" applyBorder="1" applyAlignment="1" applyProtection="1">
      <alignment horizontal="center" vertical="center" wrapText="1"/>
    </xf>
    <xf numFmtId="0" fontId="0" fillId="0" borderId="7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9" fontId="2" fillId="4" borderId="19" xfId="1" applyFont="1" applyFill="1" applyBorder="1" applyAlignment="1" applyProtection="1">
      <alignment horizontal="center" vertical="center" wrapText="1"/>
    </xf>
    <xf numFmtId="9" fontId="2" fillId="4" borderId="20" xfId="1" applyFont="1" applyFill="1" applyBorder="1" applyAlignment="1" applyProtection="1">
      <alignment horizontal="center" vertical="center" wrapText="1"/>
    </xf>
    <xf numFmtId="9" fontId="2" fillId="4" borderId="21" xfId="1" applyFont="1" applyFill="1" applyBorder="1" applyAlignment="1" applyProtection="1">
      <alignment horizontal="center" vertical="center" wrapText="1"/>
    </xf>
    <xf numFmtId="0" fontId="0" fillId="0" borderId="2" xfId="0" applyFill="1" applyBorder="1" applyAlignment="1" applyProtection="1">
      <alignment horizontal="center" vertical="center"/>
    </xf>
    <xf numFmtId="0" fontId="0" fillId="0" borderId="4" xfId="0" applyFill="1" applyBorder="1" applyAlignment="1" applyProtection="1">
      <alignment horizontal="center" vertical="center"/>
    </xf>
    <xf numFmtId="0" fontId="0" fillId="4" borderId="1" xfId="0" applyFill="1" applyBorder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/>
    </xf>
    <xf numFmtId="0" fontId="0" fillId="0" borderId="4" xfId="0" applyBorder="1" applyAlignment="1" applyProtection="1">
      <alignment horizontal="left"/>
    </xf>
    <xf numFmtId="0" fontId="0" fillId="0" borderId="5" xfId="0" applyFill="1" applyBorder="1" applyAlignment="1" applyProtection="1">
      <alignment vertical="center" wrapText="1"/>
    </xf>
    <xf numFmtId="0" fontId="0" fillId="0" borderId="6" xfId="0" applyFill="1" applyBorder="1" applyAlignment="1" applyProtection="1">
      <alignment vertical="center" wrapText="1"/>
    </xf>
    <xf numFmtId="0" fontId="0" fillId="0" borderId="7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 vertical="center"/>
    </xf>
    <xf numFmtId="0" fontId="0" fillId="0" borderId="14" xfId="0" applyBorder="1" applyAlignment="1" applyProtection="1">
      <alignment horizontal="center" vertical="center"/>
    </xf>
    <xf numFmtId="0" fontId="0" fillId="0" borderId="8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/>
    </xf>
    <xf numFmtId="0" fontId="9" fillId="0" borderId="1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1" fillId="4" borderId="19" xfId="0" applyFont="1" applyFill="1" applyBorder="1" applyAlignment="1" applyProtection="1">
      <alignment horizontal="center" vertical="center"/>
    </xf>
    <xf numFmtId="0" fontId="1" fillId="4" borderId="20" xfId="0" applyFont="1" applyFill="1" applyBorder="1" applyAlignment="1" applyProtection="1">
      <alignment horizontal="center" vertical="center"/>
    </xf>
    <xf numFmtId="0" fontId="0" fillId="0" borderId="2" xfId="0" applyBorder="1" applyAlignment="1" applyProtection="1">
      <alignment horizontal="left" vertical="center" wrapText="1"/>
    </xf>
    <xf numFmtId="0" fontId="0" fillId="0" borderId="4" xfId="0" applyBorder="1" applyAlignment="1" applyProtection="1">
      <alignment horizontal="left" vertical="center" wrapText="1"/>
    </xf>
    <xf numFmtId="0" fontId="7" fillId="0" borderId="0" xfId="0" applyFont="1" applyBorder="1" applyAlignment="1" applyProtection="1">
      <alignment horizontal="center" wrapText="1"/>
    </xf>
    <xf numFmtId="0" fontId="1" fillId="4" borderId="9" xfId="0" applyFont="1" applyFill="1" applyBorder="1" applyAlignment="1" applyProtection="1">
      <alignment horizontal="center" vertical="center"/>
    </xf>
    <xf numFmtId="0" fontId="1" fillId="4" borderId="10" xfId="0" applyFont="1" applyFill="1" applyBorder="1" applyAlignment="1" applyProtection="1">
      <alignment horizontal="center" vertical="center"/>
    </xf>
    <xf numFmtId="9" fontId="2" fillId="4" borderId="9" xfId="1" applyFont="1" applyFill="1" applyBorder="1" applyAlignment="1" applyProtection="1">
      <alignment horizontal="center" vertical="center" wrapText="1"/>
    </xf>
    <xf numFmtId="9" fontId="2" fillId="4" borderId="10" xfId="1" applyFont="1" applyFill="1" applyBorder="1" applyAlignment="1" applyProtection="1">
      <alignment horizontal="center" vertical="center" wrapText="1"/>
    </xf>
    <xf numFmtId="9" fontId="2" fillId="4" borderId="13" xfId="1" applyFont="1" applyFill="1" applyBorder="1" applyAlignment="1" applyProtection="1">
      <alignment horizontal="center" vertical="center" wrapText="1"/>
    </xf>
    <xf numFmtId="0" fontId="7" fillId="0" borderId="17" xfId="0" applyFont="1" applyBorder="1" applyAlignment="1" applyProtection="1">
      <alignment horizontal="center" wrapText="1"/>
    </xf>
    <xf numFmtId="14" fontId="7" fillId="0" borderId="3" xfId="0" applyNumberFormat="1" applyFont="1" applyBorder="1" applyAlignment="1" applyProtection="1">
      <alignment horizontal="center" wrapText="1"/>
    </xf>
    <xf numFmtId="0" fontId="7" fillId="0" borderId="11" xfId="0" applyFont="1" applyBorder="1" applyAlignment="1" applyProtection="1">
      <alignment horizontal="center" wrapText="1"/>
    </xf>
    <xf numFmtId="0" fontId="7" fillId="0" borderId="18" xfId="0" applyFont="1" applyBorder="1" applyAlignment="1" applyProtection="1">
      <alignment horizontal="center" wrapText="1"/>
    </xf>
    <xf numFmtId="0" fontId="3" fillId="7" borderId="35" xfId="0" applyFont="1" applyFill="1" applyBorder="1" applyAlignment="1" applyProtection="1">
      <alignment horizontal="center" vertical="center" wrapText="1"/>
    </xf>
    <xf numFmtId="0" fontId="3" fillId="7" borderId="26" xfId="0" applyFont="1" applyFill="1" applyBorder="1" applyAlignment="1" applyProtection="1">
      <alignment horizontal="center" vertical="center" wrapText="1"/>
    </xf>
    <xf numFmtId="0" fontId="3" fillId="7" borderId="32" xfId="0" applyFont="1" applyFill="1" applyBorder="1" applyAlignment="1" applyProtection="1">
      <alignment horizontal="center" vertical="center" wrapText="1"/>
    </xf>
    <xf numFmtId="0" fontId="11" fillId="6" borderId="22" xfId="0" applyFont="1" applyFill="1" applyBorder="1" applyAlignment="1">
      <alignment horizontal="center" vertical="center"/>
    </xf>
    <xf numFmtId="0" fontId="11" fillId="6" borderId="23" xfId="0" applyFont="1" applyFill="1" applyBorder="1" applyAlignment="1">
      <alignment horizontal="center" vertical="center"/>
    </xf>
    <xf numFmtId="0" fontId="11" fillId="6" borderId="19" xfId="0" applyFont="1" applyFill="1" applyBorder="1" applyAlignment="1">
      <alignment horizontal="center" vertical="center"/>
    </xf>
    <xf numFmtId="0" fontId="11" fillId="6" borderId="21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/>
    </xf>
    <xf numFmtId="0" fontId="1" fillId="6" borderId="24" xfId="0" applyFont="1" applyFill="1" applyBorder="1" applyAlignment="1">
      <alignment horizontal="center"/>
    </xf>
    <xf numFmtId="0" fontId="1" fillId="6" borderId="23" xfId="0" applyFont="1" applyFill="1" applyBorder="1" applyAlignment="1">
      <alignment horizontal="center"/>
    </xf>
    <xf numFmtId="0" fontId="12" fillId="7" borderId="26" xfId="0" applyFont="1" applyFill="1" applyBorder="1" applyAlignment="1">
      <alignment horizontal="center" vertical="center"/>
    </xf>
    <xf numFmtId="0" fontId="12" fillId="7" borderId="32" xfId="0" applyFont="1" applyFill="1" applyBorder="1" applyAlignment="1">
      <alignment horizontal="center" vertical="center"/>
    </xf>
    <xf numFmtId="0" fontId="12" fillId="7" borderId="35" xfId="0" applyFont="1" applyFill="1" applyBorder="1" applyAlignment="1">
      <alignment horizontal="center" vertical="center"/>
    </xf>
    <xf numFmtId="0" fontId="12" fillId="7" borderId="35" xfId="0" applyFont="1" applyFill="1" applyBorder="1" applyAlignment="1">
      <alignment horizontal="center" vertical="center" wrapText="1"/>
    </xf>
    <xf numFmtId="0" fontId="12" fillId="7" borderId="26" xfId="0" applyFont="1" applyFill="1" applyBorder="1" applyAlignment="1">
      <alignment horizontal="center" vertical="center" wrapText="1"/>
    </xf>
    <xf numFmtId="0" fontId="12" fillId="7" borderId="32" xfId="0" applyFont="1" applyFill="1" applyBorder="1" applyAlignment="1">
      <alignment horizontal="center" vertical="center" wrapText="1"/>
    </xf>
    <xf numFmtId="0" fontId="3" fillId="7" borderId="35" xfId="0" applyFont="1" applyFill="1" applyBorder="1" applyAlignment="1">
      <alignment horizontal="center" vertical="center" wrapText="1"/>
    </xf>
    <xf numFmtId="0" fontId="3" fillId="7" borderId="26" xfId="0" applyFont="1" applyFill="1" applyBorder="1" applyAlignment="1">
      <alignment horizontal="center" vertical="center" wrapText="1"/>
    </xf>
    <xf numFmtId="0" fontId="3" fillId="7" borderId="32" xfId="0" applyFont="1" applyFill="1" applyBorder="1" applyAlignment="1">
      <alignment horizontal="center" vertical="center" wrapText="1"/>
    </xf>
    <xf numFmtId="0" fontId="11" fillId="6" borderId="38" xfId="0" applyFont="1" applyFill="1" applyBorder="1" applyAlignment="1">
      <alignment horizontal="center"/>
    </xf>
    <xf numFmtId="0" fontId="11" fillId="6" borderId="39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FFCC"/>
      <color rgb="FFFFCC66"/>
      <color rgb="FFFFFF99"/>
      <color rgb="FFFFCC00"/>
      <color rgb="FFCC330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1797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T61"/>
  <sheetViews>
    <sheetView tabSelected="1" view="pageBreakPreview" zoomScaleNormal="100" zoomScaleSheetLayoutView="100" workbookViewId="0">
      <selection activeCell="H10" sqref="H10:K10"/>
    </sheetView>
  </sheetViews>
  <sheetFormatPr baseColWidth="10" defaultColWidth="11.44140625" defaultRowHeight="14.4" x14ac:dyDescent="0.3"/>
  <cols>
    <col min="1" max="1" width="4.109375" style="2" customWidth="1" collapsed="1"/>
    <col min="2" max="2" width="9" style="2" customWidth="1" collapsed="1"/>
    <col min="3" max="3" width="21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2" style="2" customWidth="1" collapsed="1"/>
    <col min="12" max="12" width="14.44140625" style="2" hidden="1" customWidth="1" collapsed="1"/>
    <col min="13" max="14" width="11.44140625" style="6" hidden="1" customWidth="1" collapsed="1"/>
    <col min="15" max="16" width="11.44140625" style="2" hidden="1" customWidth="1" collapsed="1"/>
    <col min="17" max="18" width="11.44140625" style="2" collapsed="1"/>
    <col min="19" max="22" width="0" style="2" hidden="1" customWidth="1" collapsed="1"/>
    <col min="23" max="16384" width="11.44140625" style="2" collapsed="1"/>
  </cols>
  <sheetData>
    <row r="1" spans="1:20" ht="15" customHeight="1" x14ac:dyDescent="0.3">
      <c r="A1" s="97"/>
      <c r="B1" s="97"/>
      <c r="C1" s="104" t="s">
        <v>11</v>
      </c>
      <c r="D1" s="105"/>
      <c r="E1" s="105"/>
      <c r="F1" s="105"/>
      <c r="G1" s="105"/>
      <c r="H1" s="106"/>
      <c r="I1" s="30" t="s">
        <v>20</v>
      </c>
      <c r="J1" s="100" t="s">
        <v>43</v>
      </c>
      <c r="K1" s="101"/>
    </row>
    <row r="2" spans="1:20" ht="15.75" customHeight="1" x14ac:dyDescent="0.3">
      <c r="A2" s="97"/>
      <c r="B2" s="97"/>
      <c r="C2" s="107"/>
      <c r="D2" s="108"/>
      <c r="E2" s="108"/>
      <c r="F2" s="108"/>
      <c r="G2" s="108"/>
      <c r="H2" s="109"/>
      <c r="I2" s="30" t="s">
        <v>21</v>
      </c>
      <c r="J2" s="31" t="s">
        <v>77</v>
      </c>
      <c r="K2" s="53">
        <v>42720</v>
      </c>
    </row>
    <row r="3" spans="1:20" x14ac:dyDescent="0.3">
      <c r="A3" s="97"/>
      <c r="B3" s="97"/>
      <c r="C3" s="110"/>
      <c r="D3" s="111"/>
      <c r="E3" s="111"/>
      <c r="F3" s="111"/>
      <c r="G3" s="111"/>
      <c r="H3" s="112"/>
      <c r="I3" s="30" t="s">
        <v>22</v>
      </c>
      <c r="J3" s="102">
        <v>42286</v>
      </c>
      <c r="K3" s="103"/>
    </row>
    <row r="4" spans="1:20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20" ht="15.75" customHeight="1" x14ac:dyDescent="0.3">
      <c r="A5" s="3"/>
      <c r="B5" s="13" t="s">
        <v>27</v>
      </c>
      <c r="C5" s="98" t="s">
        <v>74</v>
      </c>
      <c r="D5" s="98"/>
      <c r="E5" s="98"/>
      <c r="F5" s="98"/>
      <c r="G5" s="98"/>
      <c r="H5" s="13" t="s">
        <v>0</v>
      </c>
      <c r="I5" s="99">
        <v>46157</v>
      </c>
      <c r="J5" s="99"/>
    </row>
    <row r="6" spans="1:20" ht="15.75" customHeight="1" x14ac:dyDescent="0.3">
      <c r="A6" s="18"/>
      <c r="E6" s="19"/>
      <c r="F6" s="19"/>
      <c r="G6" s="11"/>
    </row>
    <row r="7" spans="1:20" ht="15.6" x14ac:dyDescent="0.3">
      <c r="A7" s="89" t="s">
        <v>9</v>
      </c>
      <c r="B7" s="89"/>
      <c r="C7" s="89"/>
      <c r="D7" s="89"/>
      <c r="E7" s="89"/>
      <c r="F7" s="89"/>
      <c r="G7" s="89"/>
      <c r="H7" s="89"/>
      <c r="I7" s="89"/>
      <c r="J7" s="89"/>
      <c r="K7" s="89"/>
    </row>
    <row r="8" spans="1:20" ht="28.8" x14ac:dyDescent="0.3">
      <c r="A8" s="48" t="s">
        <v>1</v>
      </c>
      <c r="B8" s="91" t="s">
        <v>9</v>
      </c>
      <c r="C8" s="92"/>
      <c r="D8" s="20" t="s">
        <v>46</v>
      </c>
      <c r="E8" s="9" t="s">
        <v>44</v>
      </c>
      <c r="F8" s="9" t="s">
        <v>45</v>
      </c>
      <c r="G8" s="14" t="s">
        <v>18</v>
      </c>
      <c r="H8" s="90" t="s">
        <v>28</v>
      </c>
      <c r="I8" s="90"/>
      <c r="J8" s="90"/>
      <c r="K8" s="90"/>
      <c r="M8" s="2"/>
      <c r="N8" s="2"/>
    </row>
    <row r="9" spans="1:20" ht="18" customHeight="1" x14ac:dyDescent="0.3">
      <c r="A9" s="29">
        <v>1</v>
      </c>
      <c r="B9" s="93" t="s">
        <v>24</v>
      </c>
      <c r="C9" s="94"/>
      <c r="D9" s="28">
        <v>4</v>
      </c>
      <c r="E9" s="7">
        <v>4</v>
      </c>
      <c r="F9" s="7">
        <v>4</v>
      </c>
      <c r="G9" s="22">
        <f>IF(D9="","",IF(D9=0,"-",IF(F9&gt;D9,"ERROR",IF(E9&gt;D9,"ERROR",IF(E9&lt;D9,0,IF(E9&gt;F9,0,IF(F9=D9,1,0)))))))</f>
        <v>1</v>
      </c>
      <c r="H9" s="88"/>
      <c r="I9" s="88"/>
      <c r="J9" s="88"/>
      <c r="K9" s="88"/>
    </row>
    <row r="10" spans="1:20" ht="18" customHeight="1" x14ac:dyDescent="0.3">
      <c r="A10" s="29">
        <v>2</v>
      </c>
      <c r="B10" s="93" t="s">
        <v>23</v>
      </c>
      <c r="C10" s="94"/>
      <c r="D10" s="28">
        <v>4</v>
      </c>
      <c r="E10" s="7">
        <v>4</v>
      </c>
      <c r="F10" s="7">
        <v>4</v>
      </c>
      <c r="G10" s="22">
        <f t="shared" ref="G10:G29" si="0">IF(D10="","",IF(D10=0,"-",IF(F10&gt;D10,"ERROR",IF(E10&gt;D10,"ERROR",IF(E10&lt;D10,0,IF(E10&gt;F10,0,IF(F10=D10,1,0)))))))</f>
        <v>1</v>
      </c>
      <c r="H10" s="88"/>
      <c r="I10" s="88"/>
      <c r="J10" s="88"/>
      <c r="K10" s="88"/>
    </row>
    <row r="11" spans="1:20" ht="18" customHeight="1" x14ac:dyDescent="0.3">
      <c r="A11" s="29">
        <v>3</v>
      </c>
      <c r="B11" s="93" t="s">
        <v>26</v>
      </c>
      <c r="C11" s="94"/>
      <c r="D11" s="28">
        <v>4</v>
      </c>
      <c r="E11" s="7">
        <v>4</v>
      </c>
      <c r="F11" s="7">
        <v>4</v>
      </c>
      <c r="G11" s="22">
        <f t="shared" si="0"/>
        <v>1</v>
      </c>
      <c r="H11" s="88"/>
      <c r="I11" s="88"/>
      <c r="J11" s="88"/>
      <c r="K11" s="88"/>
    </row>
    <row r="12" spans="1:20" ht="18" customHeight="1" x14ac:dyDescent="0.3">
      <c r="A12" s="29">
        <v>4</v>
      </c>
      <c r="B12" s="93" t="s">
        <v>25</v>
      </c>
      <c r="C12" s="94"/>
      <c r="D12" s="28">
        <v>4</v>
      </c>
      <c r="E12" s="7">
        <v>4</v>
      </c>
      <c r="F12" s="7">
        <v>4</v>
      </c>
      <c r="G12" s="22">
        <f t="shared" si="0"/>
        <v>1</v>
      </c>
      <c r="H12" s="88"/>
      <c r="I12" s="88"/>
      <c r="J12" s="88"/>
      <c r="K12" s="88"/>
    </row>
    <row r="13" spans="1:20" ht="18" customHeight="1" x14ac:dyDescent="0.3">
      <c r="A13" s="29">
        <v>5</v>
      </c>
      <c r="B13" s="93" t="s">
        <v>17</v>
      </c>
      <c r="C13" s="94"/>
      <c r="D13" s="28">
        <v>4</v>
      </c>
      <c r="E13" s="7">
        <v>4</v>
      </c>
      <c r="F13" s="7">
        <v>4</v>
      </c>
      <c r="G13" s="22">
        <f t="shared" si="0"/>
        <v>1</v>
      </c>
      <c r="H13" s="88"/>
      <c r="I13" s="88"/>
      <c r="J13" s="88"/>
      <c r="K13" s="88"/>
      <c r="T13" s="54" t="s">
        <v>74</v>
      </c>
    </row>
    <row r="14" spans="1:20" ht="18" customHeight="1" x14ac:dyDescent="0.3">
      <c r="A14" s="29">
        <v>6</v>
      </c>
      <c r="B14" s="95" t="s">
        <v>49</v>
      </c>
      <c r="C14" s="96"/>
      <c r="D14" s="28">
        <v>1</v>
      </c>
      <c r="E14" s="7">
        <v>1</v>
      </c>
      <c r="F14" s="7">
        <v>1</v>
      </c>
      <c r="G14" s="22">
        <f t="shared" si="0"/>
        <v>1</v>
      </c>
      <c r="H14" s="88"/>
      <c r="I14" s="88"/>
      <c r="J14" s="88"/>
      <c r="K14" s="88"/>
      <c r="T14" s="54" t="s">
        <v>76</v>
      </c>
    </row>
    <row r="15" spans="1:20" ht="18" customHeight="1" x14ac:dyDescent="0.3">
      <c r="A15" s="145">
        <v>7</v>
      </c>
      <c r="B15" s="119" t="s">
        <v>19</v>
      </c>
      <c r="C15" s="120"/>
      <c r="D15" s="125">
        <v>3</v>
      </c>
      <c r="E15" s="128">
        <v>3</v>
      </c>
      <c r="F15" s="128">
        <v>3</v>
      </c>
      <c r="G15" s="113">
        <f>IF(D15="","",IF(D15=0,"-",IF(F15&gt;D15,"ERROR",IF(E15&gt;D15,"ERROR",IF(E15&lt;D15,0,IF(E15&gt;F15,0,IF(F15=D15,1,0)))))))</f>
        <v>1</v>
      </c>
      <c r="H15" s="52" t="s">
        <v>57</v>
      </c>
      <c r="I15" s="46"/>
      <c r="J15" s="52" t="s">
        <v>56</v>
      </c>
      <c r="K15" s="46"/>
      <c r="T15" s="54" t="s">
        <v>78</v>
      </c>
    </row>
    <row r="16" spans="1:20" ht="18" customHeight="1" x14ac:dyDescent="0.3">
      <c r="A16" s="146"/>
      <c r="B16" s="121"/>
      <c r="C16" s="122"/>
      <c r="D16" s="126"/>
      <c r="E16" s="129"/>
      <c r="F16" s="129"/>
      <c r="G16" s="114"/>
      <c r="H16" s="52" t="s">
        <v>58</v>
      </c>
      <c r="I16" s="46"/>
      <c r="J16" s="52" t="s">
        <v>56</v>
      </c>
      <c r="K16" s="46"/>
      <c r="M16" s="2"/>
      <c r="N16" s="2"/>
      <c r="T16" s="54" t="s">
        <v>79</v>
      </c>
    </row>
    <row r="17" spans="1:20" ht="18" customHeight="1" x14ac:dyDescent="0.3">
      <c r="A17" s="146"/>
      <c r="B17" s="121"/>
      <c r="C17" s="122"/>
      <c r="D17" s="126"/>
      <c r="E17" s="129"/>
      <c r="F17" s="129"/>
      <c r="G17" s="114"/>
      <c r="H17" s="52" t="s">
        <v>59</v>
      </c>
      <c r="I17" s="46"/>
      <c r="J17" s="52" t="s">
        <v>56</v>
      </c>
      <c r="K17" s="46"/>
      <c r="M17" s="2"/>
      <c r="N17" s="2"/>
      <c r="T17" s="54" t="s">
        <v>80</v>
      </c>
    </row>
    <row r="18" spans="1:20" ht="18" customHeight="1" x14ac:dyDescent="0.3">
      <c r="A18" s="146"/>
      <c r="B18" s="121"/>
      <c r="C18" s="122"/>
      <c r="D18" s="126"/>
      <c r="E18" s="129"/>
      <c r="F18" s="129"/>
      <c r="G18" s="114"/>
      <c r="H18" s="52" t="s">
        <v>60</v>
      </c>
      <c r="I18" s="46"/>
      <c r="J18" s="52" t="s">
        <v>56</v>
      </c>
      <c r="K18" s="46"/>
      <c r="M18" s="2"/>
      <c r="N18" s="2"/>
    </row>
    <row r="19" spans="1:20" ht="18" customHeight="1" x14ac:dyDescent="0.3">
      <c r="A19" s="146"/>
      <c r="B19" s="121"/>
      <c r="C19" s="122"/>
      <c r="D19" s="126"/>
      <c r="E19" s="129"/>
      <c r="F19" s="129"/>
      <c r="G19" s="114"/>
      <c r="H19" s="52" t="s">
        <v>61</v>
      </c>
      <c r="I19" s="46"/>
      <c r="J19" s="52" t="s">
        <v>56</v>
      </c>
      <c r="K19" s="46"/>
      <c r="M19" s="2"/>
      <c r="N19" s="2"/>
    </row>
    <row r="20" spans="1:20" ht="18" customHeight="1" x14ac:dyDescent="0.3">
      <c r="A20" s="146"/>
      <c r="B20" s="121"/>
      <c r="C20" s="122"/>
      <c r="D20" s="126"/>
      <c r="E20" s="129"/>
      <c r="F20" s="129"/>
      <c r="G20" s="114"/>
      <c r="H20" s="52" t="s">
        <v>62</v>
      </c>
      <c r="I20" s="45"/>
      <c r="J20" s="52" t="s">
        <v>56</v>
      </c>
      <c r="K20" s="46"/>
      <c r="M20" s="2"/>
      <c r="N20" s="2"/>
    </row>
    <row r="21" spans="1:20" ht="18.75" customHeight="1" x14ac:dyDescent="0.3">
      <c r="A21" s="146"/>
      <c r="B21" s="121"/>
      <c r="C21" s="122"/>
      <c r="D21" s="126"/>
      <c r="E21" s="129"/>
      <c r="F21" s="129"/>
      <c r="G21" s="114"/>
      <c r="H21" s="52" t="s">
        <v>63</v>
      </c>
      <c r="I21" s="45"/>
      <c r="J21" s="52" t="s">
        <v>56</v>
      </c>
      <c r="K21" s="46"/>
      <c r="L21" s="4"/>
      <c r="M21" s="2"/>
      <c r="N21" s="2"/>
    </row>
    <row r="22" spans="1:20" ht="18.75" customHeight="1" x14ac:dyDescent="0.3">
      <c r="A22" s="147"/>
      <c r="B22" s="123"/>
      <c r="C22" s="124"/>
      <c r="D22" s="127"/>
      <c r="E22" s="130"/>
      <c r="F22" s="130"/>
      <c r="G22" s="115"/>
      <c r="H22" s="116"/>
      <c r="I22" s="117"/>
      <c r="J22" s="117"/>
      <c r="K22" s="118"/>
      <c r="L22" s="4"/>
      <c r="M22" s="2"/>
      <c r="N22" s="2"/>
    </row>
    <row r="23" spans="1:20" ht="18" customHeight="1" x14ac:dyDescent="0.3">
      <c r="A23" s="29">
        <v>8</v>
      </c>
      <c r="B23" s="95" t="s">
        <v>16</v>
      </c>
      <c r="C23" s="96"/>
      <c r="D23" s="28">
        <v>1</v>
      </c>
      <c r="E23" s="7">
        <v>1</v>
      </c>
      <c r="F23" s="7">
        <v>1</v>
      </c>
      <c r="G23" s="22">
        <f t="shared" si="0"/>
        <v>1</v>
      </c>
      <c r="H23" s="88"/>
      <c r="I23" s="88"/>
      <c r="J23" s="88"/>
      <c r="K23" s="88"/>
      <c r="M23" s="2"/>
      <c r="N23" s="2"/>
    </row>
    <row r="24" spans="1:20" ht="18" customHeight="1" x14ac:dyDescent="0.3">
      <c r="A24" s="29">
        <v>9</v>
      </c>
      <c r="B24" s="95" t="s">
        <v>15</v>
      </c>
      <c r="C24" s="96"/>
      <c r="D24" s="28">
        <v>1</v>
      </c>
      <c r="E24" s="7">
        <v>1</v>
      </c>
      <c r="F24" s="7">
        <v>1</v>
      </c>
      <c r="G24" s="22">
        <f t="shared" si="0"/>
        <v>1</v>
      </c>
      <c r="H24" s="88"/>
      <c r="I24" s="88"/>
      <c r="J24" s="88"/>
      <c r="K24" s="88"/>
      <c r="M24" s="2"/>
      <c r="N24" s="2"/>
    </row>
    <row r="25" spans="1:20" ht="18" customHeight="1" x14ac:dyDescent="0.3">
      <c r="A25" s="29">
        <v>10</v>
      </c>
      <c r="B25" s="93" t="s">
        <v>8</v>
      </c>
      <c r="C25" s="94"/>
      <c r="D25" s="28">
        <v>4</v>
      </c>
      <c r="E25" s="7">
        <v>4</v>
      </c>
      <c r="F25" s="7">
        <v>4</v>
      </c>
      <c r="G25" s="22">
        <f t="shared" si="0"/>
        <v>1</v>
      </c>
      <c r="H25" s="88"/>
      <c r="I25" s="88"/>
      <c r="J25" s="88"/>
      <c r="K25" s="88"/>
      <c r="M25" s="2"/>
      <c r="N25" s="2"/>
    </row>
    <row r="26" spans="1:20" ht="18" customHeight="1" x14ac:dyDescent="0.3">
      <c r="A26" s="29">
        <v>11</v>
      </c>
      <c r="B26" s="154" t="s">
        <v>96</v>
      </c>
      <c r="C26" s="155"/>
      <c r="D26" s="28">
        <v>1</v>
      </c>
      <c r="E26" s="28">
        <v>1</v>
      </c>
      <c r="F26" s="28">
        <v>1</v>
      </c>
      <c r="G26" s="22">
        <f t="shared" si="0"/>
        <v>1</v>
      </c>
      <c r="H26" s="142"/>
      <c r="I26" s="143"/>
      <c r="J26" s="143"/>
      <c r="K26" s="144"/>
      <c r="M26" s="2"/>
      <c r="N26" s="2"/>
    </row>
    <row r="27" spans="1:20" ht="18" customHeight="1" x14ac:dyDescent="0.3">
      <c r="A27" s="29">
        <v>12</v>
      </c>
      <c r="B27" s="137" t="s">
        <v>54</v>
      </c>
      <c r="C27" s="138"/>
      <c r="D27" s="28">
        <v>1</v>
      </c>
      <c r="E27" s="7">
        <v>1</v>
      </c>
      <c r="F27" s="7">
        <v>1</v>
      </c>
      <c r="G27" s="22">
        <f t="shared" si="0"/>
        <v>1</v>
      </c>
      <c r="H27" s="88"/>
      <c r="I27" s="88"/>
      <c r="J27" s="88"/>
      <c r="K27" s="88"/>
      <c r="M27" s="2"/>
      <c r="N27" s="2"/>
    </row>
    <row r="28" spans="1:20" ht="18" customHeight="1" x14ac:dyDescent="0.3">
      <c r="A28" s="29">
        <v>13</v>
      </c>
      <c r="B28" s="139" t="s">
        <v>50</v>
      </c>
      <c r="C28" s="140"/>
      <c r="D28" s="47">
        <v>1</v>
      </c>
      <c r="E28" s="50">
        <v>1</v>
      </c>
      <c r="F28" s="50">
        <v>1</v>
      </c>
      <c r="G28" s="49">
        <f t="shared" si="0"/>
        <v>1</v>
      </c>
      <c r="H28" s="141"/>
      <c r="I28" s="141"/>
      <c r="J28" s="141"/>
      <c r="K28" s="141"/>
    </row>
    <row r="29" spans="1:20" ht="18" customHeight="1" x14ac:dyDescent="0.3">
      <c r="A29" s="29">
        <v>14</v>
      </c>
      <c r="B29" s="134" t="s">
        <v>64</v>
      </c>
      <c r="C29" s="135"/>
      <c r="D29" s="28">
        <v>3</v>
      </c>
      <c r="E29" s="7">
        <v>3</v>
      </c>
      <c r="F29" s="7">
        <v>3</v>
      </c>
      <c r="G29" s="22">
        <f t="shared" si="0"/>
        <v>1</v>
      </c>
      <c r="H29" s="88"/>
      <c r="I29" s="88"/>
      <c r="J29" s="88"/>
      <c r="K29" s="88"/>
    </row>
    <row r="30" spans="1:20" ht="18" customHeight="1" thickBot="1" x14ac:dyDescent="0.35">
      <c r="A30" s="152" t="s">
        <v>51</v>
      </c>
      <c r="B30" s="153"/>
      <c r="C30" s="153"/>
      <c r="D30" s="153"/>
      <c r="E30" s="153"/>
      <c r="F30" s="153"/>
      <c r="G30" s="131">
        <f>IFERROR(AVERAGE(G9:G28),"-")</f>
        <v>1</v>
      </c>
      <c r="H30" s="132"/>
      <c r="I30" s="132"/>
      <c r="J30" s="132"/>
      <c r="K30" s="133"/>
    </row>
    <row r="31" spans="1:20" ht="19.5" customHeight="1" x14ac:dyDescent="0.3">
      <c r="A31" s="34"/>
      <c r="E31" s="17"/>
      <c r="F31" s="35"/>
      <c r="G31" s="36"/>
      <c r="H31" s="25"/>
      <c r="I31" s="37"/>
      <c r="J31" s="23"/>
    </row>
    <row r="32" spans="1:20" ht="17.25" customHeight="1" x14ac:dyDescent="0.3">
      <c r="A32" s="148" t="s">
        <v>53</v>
      </c>
      <c r="B32" s="148"/>
      <c r="C32" s="149" t="s">
        <v>99</v>
      </c>
      <c r="D32" s="149"/>
      <c r="E32" s="38"/>
      <c r="F32" s="38"/>
      <c r="G32" s="24"/>
      <c r="H32" s="25"/>
      <c r="I32" s="26"/>
      <c r="J32" s="25"/>
    </row>
    <row r="33" spans="1:16" ht="28.5" customHeight="1" x14ac:dyDescent="0.3">
      <c r="A33" s="148" t="s">
        <v>55</v>
      </c>
      <c r="B33" s="148"/>
      <c r="C33" s="150" t="s">
        <v>81</v>
      </c>
      <c r="D33" s="151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ht="15" customHeight="1" x14ac:dyDescent="0.3">
      <c r="A35" s="136" t="s">
        <v>52</v>
      </c>
      <c r="B35" s="136"/>
      <c r="C35" s="136"/>
      <c r="D35" s="136"/>
      <c r="E35" s="136"/>
      <c r="F35" s="136"/>
      <c r="G35" s="136"/>
      <c r="H35" s="136"/>
      <c r="I35" s="136"/>
      <c r="J35" s="136"/>
      <c r="K35" s="136"/>
    </row>
    <row r="36" spans="1:16" x14ac:dyDescent="0.3">
      <c r="A36" s="136"/>
      <c r="B36" s="136"/>
      <c r="C36" s="136"/>
      <c r="D36" s="136"/>
      <c r="E36" s="136"/>
      <c r="F36" s="136"/>
      <c r="G36" s="136"/>
      <c r="H36" s="136"/>
      <c r="I36" s="136"/>
      <c r="J36" s="136"/>
      <c r="K36" s="136"/>
    </row>
    <row r="37" spans="1:16" x14ac:dyDescent="0.3">
      <c r="M37" s="2"/>
      <c r="N37" s="2"/>
    </row>
    <row r="38" spans="1:16" x14ac:dyDescent="0.3">
      <c r="M38" s="2"/>
      <c r="N38" s="2"/>
    </row>
    <row r="39" spans="1:16" x14ac:dyDescent="0.3">
      <c r="M39" s="2"/>
      <c r="N39" s="2"/>
    </row>
    <row r="40" spans="1:16" ht="28.8" x14ac:dyDescent="0.3">
      <c r="K40" s="5"/>
      <c r="L40" s="5" t="s">
        <v>12</v>
      </c>
      <c r="M40" s="21" t="s">
        <v>48</v>
      </c>
      <c r="N40" s="21" t="s">
        <v>47</v>
      </c>
      <c r="O40" s="42" t="s">
        <v>29</v>
      </c>
    </row>
    <row r="41" spans="1:16" ht="15.6" x14ac:dyDescent="0.3">
      <c r="K41" s="1"/>
      <c r="L41" s="8" t="s">
        <v>13</v>
      </c>
      <c r="M41" s="6">
        <v>0</v>
      </c>
      <c r="N41" s="44" t="s">
        <v>13</v>
      </c>
      <c r="O41" s="6" t="s">
        <v>30</v>
      </c>
      <c r="P41" s="10"/>
    </row>
    <row r="42" spans="1:16" x14ac:dyDescent="0.3">
      <c r="K42" s="1"/>
      <c r="L42" s="43" t="s">
        <v>14</v>
      </c>
      <c r="M42" s="15">
        <v>1</v>
      </c>
      <c r="N42" s="43" t="s">
        <v>14</v>
      </c>
      <c r="O42" s="6" t="s">
        <v>31</v>
      </c>
    </row>
    <row r="43" spans="1:16" x14ac:dyDescent="0.3">
      <c r="K43" s="1"/>
      <c r="M43" s="16">
        <v>2</v>
      </c>
      <c r="N43" s="16"/>
      <c r="O43" s="6" t="s">
        <v>32</v>
      </c>
    </row>
    <row r="44" spans="1:16" x14ac:dyDescent="0.3">
      <c r="K44" s="1"/>
      <c r="M44" s="16">
        <v>3</v>
      </c>
      <c r="N44" s="16"/>
      <c r="O44" s="6" t="s">
        <v>33</v>
      </c>
    </row>
    <row r="45" spans="1:16" x14ac:dyDescent="0.3">
      <c r="K45" s="1"/>
      <c r="L45" s="1"/>
      <c r="M45" s="16">
        <v>4</v>
      </c>
      <c r="N45" s="15"/>
      <c r="O45" s="6" t="s">
        <v>34</v>
      </c>
    </row>
    <row r="46" spans="1:16" x14ac:dyDescent="0.3">
      <c r="K46" s="1"/>
      <c r="L46" s="1"/>
      <c r="M46" s="15">
        <v>5</v>
      </c>
      <c r="N46" s="15"/>
      <c r="O46" s="6" t="s">
        <v>35</v>
      </c>
    </row>
    <row r="47" spans="1:16" x14ac:dyDescent="0.3">
      <c r="K47" s="1"/>
      <c r="L47" s="1"/>
      <c r="M47" s="15">
        <v>6</v>
      </c>
      <c r="N47" s="15"/>
      <c r="O47" s="6" t="s">
        <v>36</v>
      </c>
    </row>
    <row r="48" spans="1:16" x14ac:dyDescent="0.3">
      <c r="K48" s="1"/>
      <c r="L48" s="1"/>
      <c r="M48" s="15">
        <v>7</v>
      </c>
      <c r="N48" s="15"/>
      <c r="O48" s="6" t="s">
        <v>37</v>
      </c>
    </row>
    <row r="49" spans="5:15" x14ac:dyDescent="0.3">
      <c r="E49" s="2"/>
      <c r="F49" s="2"/>
      <c r="G49" s="2"/>
      <c r="K49" s="1"/>
      <c r="L49" s="1"/>
      <c r="M49" s="15">
        <v>8</v>
      </c>
      <c r="N49" s="15"/>
      <c r="O49" s="6" t="s">
        <v>38</v>
      </c>
    </row>
    <row r="50" spans="5:15" x14ac:dyDescent="0.3">
      <c r="E50" s="2"/>
      <c r="F50" s="2"/>
      <c r="G50" s="2"/>
      <c r="K50" s="1"/>
      <c r="L50" s="1"/>
      <c r="M50" s="15">
        <v>9</v>
      </c>
      <c r="N50" s="15"/>
      <c r="O50" s="6" t="s">
        <v>39</v>
      </c>
    </row>
    <row r="51" spans="5:15" x14ac:dyDescent="0.3">
      <c r="E51" s="2"/>
      <c r="F51" s="2"/>
      <c r="G51" s="2"/>
      <c r="K51" s="1"/>
      <c r="L51" s="1"/>
      <c r="M51" s="15">
        <v>10</v>
      </c>
      <c r="N51" s="15"/>
      <c r="O51" s="6" t="s">
        <v>40</v>
      </c>
    </row>
    <row r="52" spans="5:15" x14ac:dyDescent="0.3">
      <c r="E52" s="2"/>
      <c r="F52" s="2"/>
      <c r="G52" s="2"/>
      <c r="K52" s="1"/>
      <c r="L52" s="1"/>
      <c r="M52" s="15">
        <v>11</v>
      </c>
      <c r="N52" s="15"/>
      <c r="O52" s="6" t="s">
        <v>41</v>
      </c>
    </row>
    <row r="53" spans="5:15" x14ac:dyDescent="0.3">
      <c r="E53" s="2"/>
      <c r="F53" s="2"/>
      <c r="G53" s="2"/>
      <c r="K53" s="1"/>
      <c r="L53" s="1"/>
      <c r="M53" s="15">
        <v>12</v>
      </c>
      <c r="N53" s="15"/>
      <c r="O53" s="6"/>
    </row>
    <row r="54" spans="5:15" x14ac:dyDescent="0.3">
      <c r="E54" s="2"/>
      <c r="F54" s="2"/>
      <c r="G54" s="2"/>
      <c r="K54" s="1"/>
      <c r="L54" s="1"/>
      <c r="M54" s="15">
        <v>13</v>
      </c>
      <c r="N54" s="15"/>
      <c r="O54" s="6"/>
    </row>
    <row r="55" spans="5:15" x14ac:dyDescent="0.3">
      <c r="E55" s="2"/>
      <c r="F55" s="2"/>
      <c r="G55" s="2"/>
      <c r="K55" s="1"/>
      <c r="L55" s="1"/>
      <c r="M55" s="15">
        <v>14</v>
      </c>
      <c r="N55" s="15"/>
      <c r="O55" s="6"/>
    </row>
    <row r="56" spans="5:15" x14ac:dyDescent="0.3">
      <c r="E56" s="2"/>
      <c r="F56" s="2"/>
      <c r="G56" s="2"/>
      <c r="K56" s="1"/>
      <c r="M56" s="15">
        <v>15</v>
      </c>
      <c r="O56" s="6"/>
    </row>
    <row r="57" spans="5:15" x14ac:dyDescent="0.3">
      <c r="K57" s="1"/>
    </row>
    <row r="58" spans="5:15" x14ac:dyDescent="0.3">
      <c r="K58" s="1"/>
    </row>
    <row r="59" spans="5:15" x14ac:dyDescent="0.3">
      <c r="K59" s="1"/>
    </row>
    <row r="60" spans="5:15" x14ac:dyDescent="0.3">
      <c r="K60" s="1"/>
    </row>
    <row r="61" spans="5:15" x14ac:dyDescent="0.3">
      <c r="K61" s="1" t="str">
        <f>IF(MAESTRO!A21="","",MAESTRO!A21)</f>
        <v/>
      </c>
    </row>
  </sheetData>
  <sheetProtection algorithmName="SHA-512" hashValue="B6QAWibm2g12jPO7+mogmiVbhCciboOr7FTkGXYXdLVntkZej+SsH5V1QlORpq1FH6zLwyOj898fMd0GTkZN1A==" saltValue="6bw7Jr5UTlUzemZfj8TQkw==" spinCount="100000" sheet="1" selectLockedCells="1"/>
  <dataConsolidate/>
  <mergeCells count="49">
    <mergeCell ref="A15:A22"/>
    <mergeCell ref="A32:B32"/>
    <mergeCell ref="C32:D32"/>
    <mergeCell ref="A33:B33"/>
    <mergeCell ref="C33:D33"/>
    <mergeCell ref="A30:F30"/>
    <mergeCell ref="B26:C26"/>
    <mergeCell ref="G30:K30"/>
    <mergeCell ref="B29:C29"/>
    <mergeCell ref="H29:K29"/>
    <mergeCell ref="A35:K36"/>
    <mergeCell ref="B25:C25"/>
    <mergeCell ref="H25:K25"/>
    <mergeCell ref="B27:C27"/>
    <mergeCell ref="H27:K27"/>
    <mergeCell ref="B28:C28"/>
    <mergeCell ref="H28:K28"/>
    <mergeCell ref="H26:K26"/>
    <mergeCell ref="G15:G22"/>
    <mergeCell ref="H22:K22"/>
    <mergeCell ref="B24:C24"/>
    <mergeCell ref="B23:C23"/>
    <mergeCell ref="H23:K23"/>
    <mergeCell ref="H24:K24"/>
    <mergeCell ref="B15:C22"/>
    <mergeCell ref="D15:D22"/>
    <mergeCell ref="E15:E22"/>
    <mergeCell ref="F15:F22"/>
    <mergeCell ref="A1:B3"/>
    <mergeCell ref="C5:G5"/>
    <mergeCell ref="I5:J5"/>
    <mergeCell ref="J1:K1"/>
    <mergeCell ref="J3:K3"/>
    <mergeCell ref="C1:H3"/>
    <mergeCell ref="H13:K13"/>
    <mergeCell ref="H14:K14"/>
    <mergeCell ref="A7:K7"/>
    <mergeCell ref="H8:K8"/>
    <mergeCell ref="H9:K9"/>
    <mergeCell ref="B8:C8"/>
    <mergeCell ref="B9:C9"/>
    <mergeCell ref="B13:C13"/>
    <mergeCell ref="B14:C14"/>
    <mergeCell ref="B10:C10"/>
    <mergeCell ref="B11:C11"/>
    <mergeCell ref="B12:C12"/>
    <mergeCell ref="H10:K10"/>
    <mergeCell ref="H11:K11"/>
    <mergeCell ref="H12:K12"/>
  </mergeCells>
  <dataValidations count="4">
    <dataValidation type="list" allowBlank="1" showInputMessage="1" showErrorMessage="1" sqref="D11:D14 D23:D29 E26:F26" xr:uid="{00000000-0002-0000-0000-000000000000}">
      <formula1>$M$34:$M$50</formula1>
    </dataValidation>
    <dataValidation type="list" allowBlank="1" showInputMessage="1" showErrorMessage="1" sqref="D9:D10" xr:uid="{00000000-0002-0000-0000-000001000000}">
      <formula1>$M$34:$M$49</formula1>
    </dataValidation>
    <dataValidation type="list" allowBlank="1" showInputMessage="1" showErrorMessage="1" sqref="D15 E9:F15 E23:F25 E27:F29" xr:uid="{00000000-0002-0000-0000-000002000000}">
      <formula1>$M$42:$M$56</formula1>
    </dataValidation>
    <dataValidation type="list" allowBlank="1" showInputMessage="1" showErrorMessage="1" sqref="C5:G5" xr:uid="{00000000-0002-0000-0000-000003000000}">
      <formula1>$T$13:$T$17</formula1>
    </dataValidation>
  </dataValidations>
  <pageMargins left="0.39370078740157483" right="0.39370078740157483" top="0.59055118110236227" bottom="0.59055118110236227" header="0.31496062992125984" footer="0.31496062992125984"/>
  <pageSetup scale="72" orientation="portrait" r:id="rId1"/>
  <headerFooter>
    <oddFooter>&amp;RPág. &amp;P - &amp;N</oddFooter>
  </headerFooter>
  <colBreaks count="1" manualBreakCount="1">
    <brk id="11" max="52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S61"/>
  <sheetViews>
    <sheetView view="pageBreakPreview" topLeftCell="A19" zoomScaleNormal="100" zoomScaleSheetLayoutView="10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9" style="2" customWidth="1" collapsed="1"/>
    <col min="3" max="3" width="22.554687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2.33203125" style="2" bestFit="1" customWidth="1" collapsed="1"/>
    <col min="12" max="12" width="14.44140625" style="2" hidden="1" customWidth="1" collapsed="1"/>
    <col min="13" max="14" width="11.44140625" style="6" hidden="1" customWidth="1" collapsed="1"/>
    <col min="15" max="15" width="11.44140625" style="2" hidden="1" customWidth="1" collapsed="1"/>
    <col min="16" max="16" width="11.44140625" style="2" customWidth="1" collapsed="1"/>
    <col min="17" max="16384" width="11.44140625" style="2" collapsed="1"/>
  </cols>
  <sheetData>
    <row r="1" spans="1:19" ht="15" customHeight="1" x14ac:dyDescent="0.3">
      <c r="A1" s="97"/>
      <c r="B1" s="97"/>
      <c r="C1" s="104" t="s">
        <v>11</v>
      </c>
      <c r="D1" s="105"/>
      <c r="E1" s="105"/>
      <c r="F1" s="105"/>
      <c r="G1" s="105"/>
      <c r="H1" s="106"/>
      <c r="I1" s="30" t="s">
        <v>20</v>
      </c>
      <c r="J1" s="156" t="s">
        <v>43</v>
      </c>
      <c r="K1" s="156"/>
    </row>
    <row r="2" spans="1:19" ht="20.25" customHeight="1" x14ac:dyDescent="0.3">
      <c r="A2" s="97"/>
      <c r="B2" s="97"/>
      <c r="C2" s="107"/>
      <c r="D2" s="108"/>
      <c r="E2" s="108"/>
      <c r="F2" s="108"/>
      <c r="G2" s="108"/>
      <c r="H2" s="109"/>
      <c r="I2" s="30" t="s">
        <v>21</v>
      </c>
      <c r="J2" s="31" t="s">
        <v>77</v>
      </c>
      <c r="K2" s="53">
        <v>42720</v>
      </c>
    </row>
    <row r="3" spans="1:19" x14ac:dyDescent="0.3">
      <c r="A3" s="97"/>
      <c r="B3" s="97"/>
      <c r="C3" s="110"/>
      <c r="D3" s="111"/>
      <c r="E3" s="111"/>
      <c r="F3" s="111"/>
      <c r="G3" s="111"/>
      <c r="H3" s="112"/>
      <c r="I3" s="30" t="s">
        <v>22</v>
      </c>
      <c r="J3" s="102">
        <v>42286</v>
      </c>
      <c r="K3" s="103"/>
    </row>
    <row r="4" spans="1:19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19" ht="15.75" customHeight="1" x14ac:dyDescent="0.3">
      <c r="A5" s="3"/>
      <c r="B5" s="13" t="s">
        <v>27</v>
      </c>
      <c r="C5" s="98" t="s">
        <v>76</v>
      </c>
      <c r="D5" s="98"/>
      <c r="E5" s="98"/>
      <c r="F5" s="98"/>
      <c r="G5" s="98"/>
      <c r="H5" s="13" t="s">
        <v>0</v>
      </c>
      <c r="I5" s="99">
        <v>46157</v>
      </c>
      <c r="J5" s="99"/>
    </row>
    <row r="6" spans="1:19" ht="15.75" customHeight="1" x14ac:dyDescent="0.3">
      <c r="A6" s="18"/>
      <c r="E6" s="19"/>
      <c r="F6" s="19"/>
      <c r="G6" s="11"/>
    </row>
    <row r="7" spans="1:19" ht="15.6" x14ac:dyDescent="0.3">
      <c r="A7" s="89" t="s">
        <v>9</v>
      </c>
      <c r="B7" s="89"/>
      <c r="C7" s="89"/>
      <c r="D7" s="89"/>
      <c r="E7" s="89"/>
      <c r="F7" s="89"/>
      <c r="G7" s="89"/>
      <c r="H7" s="89"/>
      <c r="I7" s="89"/>
      <c r="J7" s="89"/>
      <c r="K7" s="89"/>
    </row>
    <row r="8" spans="1:19" ht="28.8" x14ac:dyDescent="0.3">
      <c r="A8" s="48" t="s">
        <v>1</v>
      </c>
      <c r="B8" s="91" t="s">
        <v>9</v>
      </c>
      <c r="C8" s="92"/>
      <c r="D8" s="20" t="s">
        <v>46</v>
      </c>
      <c r="E8" s="9" t="s">
        <v>44</v>
      </c>
      <c r="F8" s="9" t="s">
        <v>45</v>
      </c>
      <c r="G8" s="14" t="s">
        <v>18</v>
      </c>
      <c r="H8" s="90" t="s">
        <v>28</v>
      </c>
      <c r="I8" s="90"/>
      <c r="J8" s="90"/>
      <c r="K8" s="90"/>
      <c r="M8" s="2"/>
      <c r="N8" s="2"/>
    </row>
    <row r="9" spans="1:19" ht="18" customHeight="1" x14ac:dyDescent="0.3">
      <c r="A9" s="29">
        <v>1</v>
      </c>
      <c r="B9" s="93" t="s">
        <v>24</v>
      </c>
      <c r="C9" s="94"/>
      <c r="D9" s="28">
        <v>5</v>
      </c>
      <c r="E9" s="7">
        <v>5</v>
      </c>
      <c r="F9" s="7">
        <v>5</v>
      </c>
      <c r="G9" s="22">
        <f>IF(D9="","",IF(D9=0,"-",IF(F9&gt;D9,"ERROR",IF(E9&gt;D9,"ERROR",IF(E9&lt;D9,0,IF(E9&gt;F9,0,IF(F9=D9,1,0)))))))</f>
        <v>1</v>
      </c>
      <c r="H9" s="88"/>
      <c r="I9" s="88"/>
      <c r="J9" s="88"/>
      <c r="K9" s="88"/>
    </row>
    <row r="10" spans="1:19" ht="18" customHeight="1" x14ac:dyDescent="0.3">
      <c r="A10" s="29">
        <v>2</v>
      </c>
      <c r="B10" s="93" t="s">
        <v>23</v>
      </c>
      <c r="C10" s="94"/>
      <c r="D10" s="28">
        <v>5</v>
      </c>
      <c r="E10" s="7">
        <v>5</v>
      </c>
      <c r="F10" s="7">
        <v>5</v>
      </c>
      <c r="G10" s="22">
        <f t="shared" ref="G10:G29" si="0">IF(D10="","",IF(D10=0,"-",IF(F10&gt;D10,"ERROR",IF(E10&gt;D10,"ERROR",IF(E10&lt;D10,0,IF(E10&gt;F10,0,IF(F10=D10,1,0)))))))</f>
        <v>1</v>
      </c>
      <c r="H10" s="88"/>
      <c r="I10" s="88"/>
      <c r="J10" s="88"/>
      <c r="K10" s="88"/>
    </row>
    <row r="11" spans="1:19" ht="18" customHeight="1" x14ac:dyDescent="0.3">
      <c r="A11" s="29">
        <v>3</v>
      </c>
      <c r="B11" s="93" t="s">
        <v>26</v>
      </c>
      <c r="C11" s="94"/>
      <c r="D11" s="28">
        <v>5</v>
      </c>
      <c r="E11" s="7">
        <v>5</v>
      </c>
      <c r="F11" s="7">
        <v>5</v>
      </c>
      <c r="G11" s="22">
        <f t="shared" si="0"/>
        <v>1</v>
      </c>
      <c r="H11" s="88"/>
      <c r="I11" s="88"/>
      <c r="J11" s="88"/>
      <c r="K11" s="88"/>
    </row>
    <row r="12" spans="1:19" ht="18" customHeight="1" x14ac:dyDescent="0.3">
      <c r="A12" s="29">
        <v>4</v>
      </c>
      <c r="B12" s="93" t="s">
        <v>25</v>
      </c>
      <c r="C12" s="94"/>
      <c r="D12" s="28">
        <v>5</v>
      </c>
      <c r="E12" s="7">
        <v>5</v>
      </c>
      <c r="F12" s="7">
        <v>5</v>
      </c>
      <c r="G12" s="22">
        <f t="shared" si="0"/>
        <v>1</v>
      </c>
      <c r="H12" s="88"/>
      <c r="I12" s="88"/>
      <c r="J12" s="88"/>
      <c r="K12" s="88"/>
    </row>
    <row r="13" spans="1:19" ht="18" customHeight="1" x14ac:dyDescent="0.3">
      <c r="A13" s="29">
        <v>5</v>
      </c>
      <c r="B13" s="93" t="s">
        <v>17</v>
      </c>
      <c r="C13" s="94"/>
      <c r="D13" s="28">
        <v>5</v>
      </c>
      <c r="E13" s="7">
        <v>5</v>
      </c>
      <c r="F13" s="7">
        <v>5</v>
      </c>
      <c r="G13" s="22">
        <f t="shared" si="0"/>
        <v>1</v>
      </c>
      <c r="H13" s="88"/>
      <c r="I13" s="88"/>
      <c r="J13" s="88"/>
      <c r="K13" s="88"/>
      <c r="S13" s="54" t="s">
        <v>74</v>
      </c>
    </row>
    <row r="14" spans="1:19" ht="18" customHeight="1" x14ac:dyDescent="0.3">
      <c r="A14" s="29">
        <v>6</v>
      </c>
      <c r="B14" s="95" t="s">
        <v>49</v>
      </c>
      <c r="C14" s="96"/>
      <c r="D14" s="28">
        <v>1</v>
      </c>
      <c r="E14" s="7">
        <v>1</v>
      </c>
      <c r="F14" s="7">
        <v>1</v>
      </c>
      <c r="G14" s="22">
        <f t="shared" si="0"/>
        <v>1</v>
      </c>
      <c r="H14" s="88"/>
      <c r="I14" s="88"/>
      <c r="J14" s="88"/>
      <c r="K14" s="88"/>
      <c r="S14" s="54" t="s">
        <v>76</v>
      </c>
    </row>
    <row r="15" spans="1:19" ht="18" customHeight="1" x14ac:dyDescent="0.3">
      <c r="A15" s="145">
        <v>7</v>
      </c>
      <c r="B15" s="119" t="s">
        <v>19</v>
      </c>
      <c r="C15" s="120"/>
      <c r="D15" s="125">
        <v>4</v>
      </c>
      <c r="E15" s="128">
        <v>4</v>
      </c>
      <c r="F15" s="128">
        <v>4</v>
      </c>
      <c r="G15" s="113">
        <f>IF(D15="","",IF(D15=0,"-",IF(F15&gt;D15,"ERROR",IF(E15&gt;D15,"ERROR",IF(E15&lt;D15,0,IF(E15&gt;F15,0,IF(F15=D15,1,0)))))))</f>
        <v>1</v>
      </c>
      <c r="H15" s="52" t="s">
        <v>57</v>
      </c>
      <c r="I15" s="46"/>
      <c r="J15" s="52" t="s">
        <v>56</v>
      </c>
      <c r="K15" s="46"/>
      <c r="S15" s="54" t="s">
        <v>78</v>
      </c>
    </row>
    <row r="16" spans="1:19" ht="18" customHeight="1" x14ac:dyDescent="0.3">
      <c r="A16" s="146"/>
      <c r="B16" s="121"/>
      <c r="C16" s="122"/>
      <c r="D16" s="126"/>
      <c r="E16" s="129"/>
      <c r="F16" s="129"/>
      <c r="G16" s="114"/>
      <c r="H16" s="52" t="s">
        <v>58</v>
      </c>
      <c r="I16" s="46"/>
      <c r="J16" s="52" t="s">
        <v>56</v>
      </c>
      <c r="K16" s="46"/>
      <c r="M16" s="2"/>
      <c r="N16" s="2"/>
      <c r="S16" s="54" t="s">
        <v>79</v>
      </c>
    </row>
    <row r="17" spans="1:19" ht="18" customHeight="1" x14ac:dyDescent="0.3">
      <c r="A17" s="146"/>
      <c r="B17" s="121"/>
      <c r="C17" s="122"/>
      <c r="D17" s="126"/>
      <c r="E17" s="129"/>
      <c r="F17" s="129"/>
      <c r="G17" s="114"/>
      <c r="H17" s="52" t="s">
        <v>59</v>
      </c>
      <c r="I17" s="46"/>
      <c r="J17" s="52" t="s">
        <v>56</v>
      </c>
      <c r="K17" s="46"/>
      <c r="M17" s="2"/>
      <c r="N17" s="2"/>
      <c r="S17" s="54" t="s">
        <v>80</v>
      </c>
    </row>
    <row r="18" spans="1:19" ht="18" customHeight="1" x14ac:dyDescent="0.3">
      <c r="A18" s="146"/>
      <c r="B18" s="121"/>
      <c r="C18" s="122"/>
      <c r="D18" s="126"/>
      <c r="E18" s="129"/>
      <c r="F18" s="129"/>
      <c r="G18" s="114"/>
      <c r="H18" s="52" t="s">
        <v>60</v>
      </c>
      <c r="I18" s="46"/>
      <c r="J18" s="52" t="s">
        <v>56</v>
      </c>
      <c r="K18" s="46"/>
      <c r="M18" s="2"/>
      <c r="N18" s="2"/>
    </row>
    <row r="19" spans="1:19" ht="18" customHeight="1" x14ac:dyDescent="0.3">
      <c r="A19" s="146"/>
      <c r="B19" s="121"/>
      <c r="C19" s="122"/>
      <c r="D19" s="126"/>
      <c r="E19" s="129"/>
      <c r="F19" s="129"/>
      <c r="G19" s="114"/>
      <c r="H19" s="52" t="s">
        <v>61</v>
      </c>
      <c r="I19" s="46"/>
      <c r="J19" s="52" t="s">
        <v>56</v>
      </c>
      <c r="K19" s="46"/>
      <c r="M19" s="2"/>
      <c r="N19" s="2"/>
    </row>
    <row r="20" spans="1:19" ht="18" customHeight="1" x14ac:dyDescent="0.3">
      <c r="A20" s="146"/>
      <c r="B20" s="121"/>
      <c r="C20" s="122"/>
      <c r="D20" s="126"/>
      <c r="E20" s="129"/>
      <c r="F20" s="129"/>
      <c r="G20" s="114"/>
      <c r="H20" s="52" t="s">
        <v>62</v>
      </c>
      <c r="I20" s="45"/>
      <c r="J20" s="52" t="s">
        <v>56</v>
      </c>
      <c r="K20" s="46"/>
      <c r="M20" s="2"/>
      <c r="N20" s="2"/>
    </row>
    <row r="21" spans="1:19" ht="18.75" customHeight="1" x14ac:dyDescent="0.3">
      <c r="A21" s="146"/>
      <c r="B21" s="121"/>
      <c r="C21" s="122"/>
      <c r="D21" s="126"/>
      <c r="E21" s="129"/>
      <c r="F21" s="129"/>
      <c r="G21" s="114"/>
      <c r="H21" s="52" t="s">
        <v>63</v>
      </c>
      <c r="I21" s="45"/>
      <c r="J21" s="52" t="s">
        <v>56</v>
      </c>
      <c r="K21" s="46"/>
      <c r="L21" s="4"/>
      <c r="M21" s="2"/>
      <c r="N21" s="2"/>
    </row>
    <row r="22" spans="1:19" ht="18.75" customHeight="1" x14ac:dyDescent="0.3">
      <c r="A22" s="147"/>
      <c r="B22" s="123"/>
      <c r="C22" s="124"/>
      <c r="D22" s="127"/>
      <c r="E22" s="130"/>
      <c r="F22" s="130"/>
      <c r="G22" s="115"/>
      <c r="H22" s="116"/>
      <c r="I22" s="117"/>
      <c r="J22" s="117"/>
      <c r="K22" s="118"/>
      <c r="L22" s="4"/>
      <c r="M22" s="2"/>
      <c r="N22" s="2"/>
    </row>
    <row r="23" spans="1:19" ht="18" customHeight="1" x14ac:dyDescent="0.3">
      <c r="A23" s="29">
        <v>8</v>
      </c>
      <c r="B23" s="95" t="s">
        <v>16</v>
      </c>
      <c r="C23" s="96"/>
      <c r="D23" s="28">
        <v>2</v>
      </c>
      <c r="E23" s="7">
        <v>2</v>
      </c>
      <c r="F23" s="7">
        <v>2</v>
      </c>
      <c r="G23" s="22">
        <f t="shared" si="0"/>
        <v>1</v>
      </c>
      <c r="H23" s="88"/>
      <c r="I23" s="88"/>
      <c r="J23" s="88"/>
      <c r="K23" s="88"/>
      <c r="M23" s="2"/>
      <c r="N23" s="2"/>
    </row>
    <row r="24" spans="1:19" ht="18" customHeight="1" x14ac:dyDescent="0.3">
      <c r="A24" s="29">
        <v>9</v>
      </c>
      <c r="B24" s="95" t="s">
        <v>15</v>
      </c>
      <c r="C24" s="96"/>
      <c r="D24" s="28">
        <v>2</v>
      </c>
      <c r="E24" s="7">
        <v>2</v>
      </c>
      <c r="F24" s="7">
        <v>2</v>
      </c>
      <c r="G24" s="22">
        <f t="shared" si="0"/>
        <v>1</v>
      </c>
      <c r="H24" s="88"/>
      <c r="I24" s="88"/>
      <c r="J24" s="88"/>
      <c r="K24" s="88"/>
      <c r="M24" s="2"/>
      <c r="N24" s="2"/>
    </row>
    <row r="25" spans="1:19" ht="18" customHeight="1" x14ac:dyDescent="0.3">
      <c r="A25" s="29">
        <v>10</v>
      </c>
      <c r="B25" s="93" t="s">
        <v>8</v>
      </c>
      <c r="C25" s="94"/>
      <c r="D25" s="28">
        <v>6</v>
      </c>
      <c r="E25" s="7">
        <v>6</v>
      </c>
      <c r="F25" s="7">
        <v>6</v>
      </c>
      <c r="G25" s="22">
        <f t="shared" si="0"/>
        <v>1</v>
      </c>
      <c r="H25" s="88"/>
      <c r="I25" s="88"/>
      <c r="J25" s="88"/>
      <c r="K25" s="88"/>
      <c r="M25" s="2"/>
      <c r="N25" s="2"/>
    </row>
    <row r="26" spans="1:19" ht="18" customHeight="1" x14ac:dyDescent="0.3">
      <c r="A26" s="29">
        <v>11</v>
      </c>
      <c r="B26" s="154" t="s">
        <v>96</v>
      </c>
      <c r="C26" s="155"/>
      <c r="D26" s="28">
        <v>1</v>
      </c>
      <c r="E26" s="28">
        <v>1</v>
      </c>
      <c r="F26" s="28">
        <v>1</v>
      </c>
      <c r="G26" s="22">
        <f t="shared" si="0"/>
        <v>1</v>
      </c>
      <c r="H26" s="142"/>
      <c r="I26" s="143"/>
      <c r="J26" s="143"/>
      <c r="K26" s="144"/>
      <c r="M26" s="2"/>
      <c r="N26" s="2"/>
    </row>
    <row r="27" spans="1:19" ht="18" customHeight="1" x14ac:dyDescent="0.3">
      <c r="A27" s="29">
        <v>12</v>
      </c>
      <c r="B27" s="137" t="s">
        <v>54</v>
      </c>
      <c r="C27" s="138"/>
      <c r="D27" s="28">
        <v>1</v>
      </c>
      <c r="E27" s="7">
        <v>1</v>
      </c>
      <c r="F27" s="7">
        <v>1</v>
      </c>
      <c r="G27" s="22">
        <f t="shared" si="0"/>
        <v>1</v>
      </c>
      <c r="H27" s="88"/>
      <c r="I27" s="88"/>
      <c r="J27" s="88"/>
      <c r="K27" s="88"/>
    </row>
    <row r="28" spans="1:19" ht="18" customHeight="1" x14ac:dyDescent="0.3">
      <c r="A28" s="29">
        <v>13</v>
      </c>
      <c r="B28" s="139" t="s">
        <v>50</v>
      </c>
      <c r="C28" s="140"/>
      <c r="D28" s="47">
        <v>1</v>
      </c>
      <c r="E28" s="7">
        <v>1</v>
      </c>
      <c r="F28" s="7">
        <v>1</v>
      </c>
      <c r="G28" s="49">
        <f t="shared" si="0"/>
        <v>1</v>
      </c>
      <c r="H28" s="141"/>
      <c r="I28" s="141"/>
      <c r="J28" s="141"/>
      <c r="K28" s="141"/>
    </row>
    <row r="29" spans="1:19" ht="18" customHeight="1" thickBot="1" x14ac:dyDescent="0.35">
      <c r="A29" s="29">
        <v>14</v>
      </c>
      <c r="B29" s="134" t="s">
        <v>64</v>
      </c>
      <c r="C29" s="135"/>
      <c r="D29" s="28">
        <v>5</v>
      </c>
      <c r="E29" s="7">
        <v>5</v>
      </c>
      <c r="F29" s="7">
        <v>5</v>
      </c>
      <c r="G29" s="22">
        <f t="shared" si="0"/>
        <v>1</v>
      </c>
      <c r="H29" s="88"/>
      <c r="I29" s="88"/>
      <c r="J29" s="88"/>
      <c r="K29" s="88"/>
    </row>
    <row r="30" spans="1:19" ht="19.5" customHeight="1" thickBot="1" x14ac:dyDescent="0.35">
      <c r="A30" s="157" t="s">
        <v>51</v>
      </c>
      <c r="B30" s="158"/>
      <c r="C30" s="158"/>
      <c r="D30" s="158"/>
      <c r="E30" s="158"/>
      <c r="F30" s="158"/>
      <c r="G30" s="159">
        <f>IFERROR(AVERAGE(G9:G28),"-")</f>
        <v>1</v>
      </c>
      <c r="H30" s="160"/>
      <c r="I30" s="160"/>
      <c r="J30" s="160"/>
      <c r="K30" s="161"/>
    </row>
    <row r="31" spans="1:19" ht="17.25" customHeight="1" x14ac:dyDescent="0.3">
      <c r="A31" s="34"/>
      <c r="E31" s="17"/>
      <c r="F31" s="35"/>
      <c r="G31" s="36"/>
      <c r="H31" s="25"/>
      <c r="I31" s="37"/>
      <c r="J31" s="23"/>
    </row>
    <row r="32" spans="1:19" ht="28.5" customHeight="1" x14ac:dyDescent="0.3">
      <c r="A32" s="148" t="s">
        <v>53</v>
      </c>
      <c r="B32" s="148"/>
      <c r="C32" s="149" t="s">
        <v>82</v>
      </c>
      <c r="D32" s="149"/>
      <c r="E32" s="38"/>
      <c r="F32" s="38"/>
      <c r="G32" s="24"/>
      <c r="H32" s="25"/>
      <c r="I32" s="26"/>
      <c r="J32" s="25"/>
    </row>
    <row r="33" spans="1:16" x14ac:dyDescent="0.3">
      <c r="A33" s="148" t="s">
        <v>55</v>
      </c>
      <c r="B33" s="148"/>
      <c r="C33" s="150" t="s">
        <v>81</v>
      </c>
      <c r="D33" s="151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36" t="s">
        <v>52</v>
      </c>
      <c r="B35" s="136"/>
      <c r="C35" s="136"/>
      <c r="D35" s="136"/>
      <c r="E35" s="136"/>
      <c r="F35" s="136"/>
      <c r="G35" s="136"/>
      <c r="H35" s="136"/>
      <c r="I35" s="136"/>
      <c r="J35" s="136"/>
      <c r="K35" s="136"/>
    </row>
    <row r="36" spans="1:16" x14ac:dyDescent="0.3">
      <c r="A36" s="136"/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M36" s="2"/>
      <c r="N36" s="2"/>
    </row>
    <row r="37" spans="1:16" x14ac:dyDescent="0.3">
      <c r="M37" s="2"/>
      <c r="N37" s="2"/>
    </row>
    <row r="38" spans="1:16" x14ac:dyDescent="0.3">
      <c r="M38" s="2"/>
      <c r="N38" s="2"/>
    </row>
    <row r="39" spans="1:16" ht="28.8" x14ac:dyDescent="0.3">
      <c r="L39" s="5" t="s">
        <v>12</v>
      </c>
      <c r="M39" s="21" t="s">
        <v>48</v>
      </c>
      <c r="N39" s="21" t="s">
        <v>47</v>
      </c>
      <c r="O39" s="42" t="s">
        <v>29</v>
      </c>
    </row>
    <row r="40" spans="1:16" ht="15.6" x14ac:dyDescent="0.3">
      <c r="K40" s="5"/>
      <c r="L40" s="8" t="s">
        <v>13</v>
      </c>
      <c r="M40" s="6">
        <v>0</v>
      </c>
      <c r="N40" s="44" t="s">
        <v>13</v>
      </c>
      <c r="O40" s="6" t="s">
        <v>30</v>
      </c>
      <c r="P40" s="10"/>
    </row>
    <row r="41" spans="1:16" x14ac:dyDescent="0.3">
      <c r="K41" s="1"/>
      <c r="L41" s="43" t="s">
        <v>14</v>
      </c>
      <c r="M41" s="15">
        <v>1</v>
      </c>
      <c r="N41" s="43" t="s">
        <v>14</v>
      </c>
      <c r="O41" s="6" t="s">
        <v>31</v>
      </c>
    </row>
    <row r="42" spans="1:16" x14ac:dyDescent="0.3">
      <c r="K42" s="1"/>
      <c r="M42" s="16">
        <v>2</v>
      </c>
      <c r="N42" s="16"/>
      <c r="O42" s="6" t="s">
        <v>32</v>
      </c>
    </row>
    <row r="43" spans="1:16" x14ac:dyDescent="0.3">
      <c r="K43" s="1"/>
      <c r="M43" s="16">
        <v>3</v>
      </c>
      <c r="N43" s="16"/>
      <c r="O43" s="6" t="s">
        <v>33</v>
      </c>
    </row>
    <row r="44" spans="1:16" x14ac:dyDescent="0.3">
      <c r="K44" s="1"/>
      <c r="L44" s="1"/>
      <c r="M44" s="16">
        <v>4</v>
      </c>
      <c r="N44" s="15"/>
      <c r="O44" s="6" t="s">
        <v>34</v>
      </c>
    </row>
    <row r="45" spans="1:16" x14ac:dyDescent="0.3">
      <c r="K45" s="1"/>
      <c r="L45" s="1"/>
      <c r="M45" s="15">
        <v>5</v>
      </c>
      <c r="N45" s="15"/>
      <c r="O45" s="6" t="s">
        <v>35</v>
      </c>
    </row>
    <row r="46" spans="1:16" x14ac:dyDescent="0.3">
      <c r="K46" s="1"/>
      <c r="L46" s="1"/>
      <c r="M46" s="15">
        <v>6</v>
      </c>
      <c r="N46" s="15"/>
      <c r="O46" s="6" t="s">
        <v>36</v>
      </c>
    </row>
    <row r="47" spans="1:16" x14ac:dyDescent="0.3">
      <c r="K47" s="1"/>
      <c r="L47" s="1"/>
      <c r="M47" s="15">
        <v>7</v>
      </c>
      <c r="N47" s="15"/>
      <c r="O47" s="6" t="s">
        <v>37</v>
      </c>
    </row>
    <row r="48" spans="1:16" x14ac:dyDescent="0.3">
      <c r="K48" s="1"/>
      <c r="L48" s="1"/>
      <c r="M48" s="15">
        <v>8</v>
      </c>
      <c r="N48" s="15"/>
      <c r="O48" s="6" t="s">
        <v>38</v>
      </c>
    </row>
    <row r="49" spans="5:15" x14ac:dyDescent="0.3">
      <c r="E49" s="2"/>
      <c r="F49" s="2"/>
      <c r="G49" s="2"/>
      <c r="K49" s="1"/>
      <c r="L49" s="1"/>
      <c r="M49" s="15">
        <v>9</v>
      </c>
      <c r="N49" s="15"/>
      <c r="O49" s="6" t="s">
        <v>39</v>
      </c>
    </row>
    <row r="50" spans="5:15" x14ac:dyDescent="0.3">
      <c r="E50" s="2"/>
      <c r="F50" s="2"/>
      <c r="G50" s="2"/>
      <c r="K50" s="1"/>
      <c r="L50" s="1"/>
      <c r="M50" s="15">
        <v>10</v>
      </c>
      <c r="N50" s="15"/>
      <c r="O50" s="6" t="s">
        <v>40</v>
      </c>
    </row>
    <row r="51" spans="5:15" x14ac:dyDescent="0.3">
      <c r="E51" s="2"/>
      <c r="F51" s="2"/>
      <c r="G51" s="2"/>
      <c r="K51" s="1"/>
      <c r="L51" s="1"/>
      <c r="M51" s="15">
        <v>11</v>
      </c>
      <c r="N51" s="15"/>
      <c r="O51" s="6" t="s">
        <v>41</v>
      </c>
    </row>
    <row r="52" spans="5:15" x14ac:dyDescent="0.3">
      <c r="E52" s="2"/>
      <c r="F52" s="2"/>
      <c r="G52" s="2"/>
      <c r="K52" s="1"/>
      <c r="L52" s="1"/>
      <c r="M52" s="15">
        <v>12</v>
      </c>
      <c r="N52" s="15"/>
      <c r="O52" s="6"/>
    </row>
    <row r="53" spans="5:15" x14ac:dyDescent="0.3">
      <c r="E53" s="2"/>
      <c r="F53" s="2"/>
      <c r="G53" s="2"/>
      <c r="K53" s="1"/>
      <c r="L53" s="1"/>
      <c r="M53" s="15">
        <v>13</v>
      </c>
      <c r="N53" s="15"/>
      <c r="O53" s="6"/>
    </row>
    <row r="54" spans="5:15" x14ac:dyDescent="0.3">
      <c r="E54" s="2"/>
      <c r="F54" s="2"/>
      <c r="G54" s="2"/>
      <c r="K54" s="1"/>
      <c r="L54" s="1"/>
      <c r="M54" s="15">
        <v>14</v>
      </c>
      <c r="N54" s="15"/>
      <c r="O54" s="6"/>
    </row>
    <row r="55" spans="5:15" x14ac:dyDescent="0.3">
      <c r="E55" s="2"/>
      <c r="F55" s="2"/>
      <c r="G55" s="2"/>
      <c r="K55" s="1"/>
      <c r="M55" s="15">
        <v>15</v>
      </c>
      <c r="O55" s="6"/>
    </row>
    <row r="56" spans="5:15" x14ac:dyDescent="0.3">
      <c r="E56" s="2"/>
      <c r="F56" s="2"/>
      <c r="G56" s="2"/>
      <c r="K56" s="1"/>
    </row>
    <row r="57" spans="5:15" x14ac:dyDescent="0.3">
      <c r="K57" s="1"/>
    </row>
    <row r="58" spans="5:15" x14ac:dyDescent="0.3">
      <c r="K58" s="1"/>
    </row>
    <row r="59" spans="5:15" x14ac:dyDescent="0.3">
      <c r="K59" s="1"/>
    </row>
    <row r="60" spans="5:15" x14ac:dyDescent="0.3">
      <c r="K60" s="1" t="str">
        <f>IF(MAESTRO!A20="","",MAESTRO!A20)</f>
        <v/>
      </c>
    </row>
    <row r="61" spans="5:15" x14ac:dyDescent="0.3">
      <c r="K61" s="1" t="str">
        <f>IF(MAESTRO!A21="","",MAESTRO!A21)</f>
        <v/>
      </c>
    </row>
  </sheetData>
  <sheetProtection selectLockedCells="1"/>
  <dataConsolidate/>
  <mergeCells count="49">
    <mergeCell ref="H26:K26"/>
    <mergeCell ref="A30:F30"/>
    <mergeCell ref="G30:K30"/>
    <mergeCell ref="A35:K36"/>
    <mergeCell ref="H27:K27"/>
    <mergeCell ref="H29:K29"/>
    <mergeCell ref="H28:K28"/>
    <mergeCell ref="A15:A22"/>
    <mergeCell ref="A32:B32"/>
    <mergeCell ref="C32:D32"/>
    <mergeCell ref="A33:B33"/>
    <mergeCell ref="C33:D33"/>
    <mergeCell ref="B27:C27"/>
    <mergeCell ref="B29:C29"/>
    <mergeCell ref="B28:C28"/>
    <mergeCell ref="B26:C26"/>
    <mergeCell ref="H25:K25"/>
    <mergeCell ref="G15:G22"/>
    <mergeCell ref="H22:K22"/>
    <mergeCell ref="B24:C24"/>
    <mergeCell ref="B23:C23"/>
    <mergeCell ref="H23:K23"/>
    <mergeCell ref="H24:K24"/>
    <mergeCell ref="B15:C22"/>
    <mergeCell ref="D15:D22"/>
    <mergeCell ref="E15:E22"/>
    <mergeCell ref="B25:C25"/>
    <mergeCell ref="F15:F22"/>
    <mergeCell ref="A1:B3"/>
    <mergeCell ref="C5:G5"/>
    <mergeCell ref="I5:J5"/>
    <mergeCell ref="J1:K1"/>
    <mergeCell ref="J3:K3"/>
    <mergeCell ref="C1:H3"/>
    <mergeCell ref="B8:C8"/>
    <mergeCell ref="B9:C9"/>
    <mergeCell ref="A7:K7"/>
    <mergeCell ref="H8:K8"/>
    <mergeCell ref="H9:K9"/>
    <mergeCell ref="H10:K10"/>
    <mergeCell ref="H11:K11"/>
    <mergeCell ref="H12:K12"/>
    <mergeCell ref="H13:K13"/>
    <mergeCell ref="H14:K14"/>
    <mergeCell ref="B10:C10"/>
    <mergeCell ref="B12:C12"/>
    <mergeCell ref="B13:C13"/>
    <mergeCell ref="B11:C11"/>
    <mergeCell ref="B14:C14"/>
  </mergeCells>
  <dataValidations count="5">
    <dataValidation type="list" allowBlank="1" showInputMessage="1" showErrorMessage="1" sqref="D9" xr:uid="{00000000-0002-0000-0100-000000000000}">
      <formula1>$M$33:$M$48</formula1>
    </dataValidation>
    <dataValidation type="list" allowBlank="1" showInputMessage="1" showErrorMessage="1" sqref="D10:D14 D23:D25 D27:D29" xr:uid="{00000000-0002-0000-0100-000001000000}">
      <formula1>$M$33:$M$49</formula1>
    </dataValidation>
    <dataValidation type="list" allowBlank="1" showInputMessage="1" showErrorMessage="1" sqref="D15 E9:F15 E23:F25 E27:F29" xr:uid="{00000000-0002-0000-0100-000002000000}">
      <formula1>$M$41:$M$55</formula1>
    </dataValidation>
    <dataValidation type="list" allowBlank="1" showInputMessage="1" showErrorMessage="1" sqref="C5:G5" xr:uid="{00000000-0002-0000-0100-000003000000}">
      <formula1>$S$13:$S$17</formula1>
    </dataValidation>
    <dataValidation type="list" allowBlank="1" showInputMessage="1" showErrorMessage="1" sqref="D26:F26" xr:uid="{00000000-0002-0000-0100-000004000000}">
      <formula1>$M$34:$M$50</formula1>
    </dataValidation>
  </dataValidations>
  <pageMargins left="0.39370078740157483" right="0.39370078740157483" top="0.59055118110236227" bottom="0.59055118110236227" header="0.31496062992125984" footer="0.31496062992125984"/>
  <pageSetup scale="71" orientation="portrait" r:id="rId1"/>
  <headerFooter>
    <oddFooter>&amp;RPág. &amp;P -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P61"/>
  <sheetViews>
    <sheetView view="pageBreakPreview" topLeftCell="A13" zoomScaleNormal="100" zoomScaleSheetLayoutView="10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14.33203125" style="2" customWidth="1" collapsed="1"/>
    <col min="3" max="3" width="23.10937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2.33203125" style="2" customWidth="1" collapsed="1"/>
    <col min="12" max="12" width="14.44140625" style="2" customWidth="1" collapsed="1"/>
    <col min="13" max="14" width="11.44140625" style="6" customWidth="1" collapsed="1"/>
    <col min="15" max="16" width="11.44140625" style="2" customWidth="1" collapsed="1"/>
    <col min="17" max="16384" width="11.44140625" style="2" collapsed="1"/>
  </cols>
  <sheetData>
    <row r="1" spans="1:14" ht="15" customHeight="1" x14ac:dyDescent="0.3">
      <c r="A1" s="97"/>
      <c r="B1" s="97"/>
      <c r="C1" s="104" t="s">
        <v>11</v>
      </c>
      <c r="D1" s="105"/>
      <c r="E1" s="105"/>
      <c r="F1" s="105"/>
      <c r="G1" s="105"/>
      <c r="H1" s="106"/>
      <c r="I1" s="30" t="s">
        <v>20</v>
      </c>
      <c r="J1" s="162" t="s">
        <v>43</v>
      </c>
      <c r="K1" s="156"/>
    </row>
    <row r="2" spans="1:14" ht="20.25" customHeight="1" x14ac:dyDescent="0.3">
      <c r="A2" s="97"/>
      <c r="B2" s="97"/>
      <c r="C2" s="107"/>
      <c r="D2" s="108"/>
      <c r="E2" s="108"/>
      <c r="F2" s="108"/>
      <c r="G2" s="108"/>
      <c r="H2" s="109"/>
      <c r="I2" s="30" t="s">
        <v>21</v>
      </c>
      <c r="J2" s="31" t="s">
        <v>77</v>
      </c>
      <c r="K2" s="53">
        <v>42720</v>
      </c>
    </row>
    <row r="3" spans="1:14" x14ac:dyDescent="0.3">
      <c r="A3" s="97"/>
      <c r="B3" s="97"/>
      <c r="C3" s="110"/>
      <c r="D3" s="111"/>
      <c r="E3" s="111"/>
      <c r="F3" s="111"/>
      <c r="G3" s="111"/>
      <c r="H3" s="112"/>
      <c r="I3" s="30" t="s">
        <v>22</v>
      </c>
      <c r="J3" s="102">
        <v>42286</v>
      </c>
      <c r="K3" s="103"/>
    </row>
    <row r="4" spans="1:14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14" ht="15.75" customHeight="1" x14ac:dyDescent="0.3">
      <c r="A5" s="3"/>
      <c r="B5" s="13" t="s">
        <v>27</v>
      </c>
      <c r="C5" s="98" t="s">
        <v>78</v>
      </c>
      <c r="D5" s="98"/>
      <c r="E5" s="98"/>
      <c r="F5" s="98"/>
      <c r="G5" s="98"/>
      <c r="H5" s="13" t="s">
        <v>0</v>
      </c>
      <c r="I5" s="99">
        <v>46157</v>
      </c>
      <c r="J5" s="99"/>
    </row>
    <row r="6" spans="1:14" ht="15.75" customHeight="1" x14ac:dyDescent="0.3">
      <c r="A6" s="18"/>
      <c r="E6" s="19"/>
      <c r="F6" s="19"/>
      <c r="G6" s="11"/>
    </row>
    <row r="7" spans="1:14" ht="15.6" x14ac:dyDescent="0.3">
      <c r="A7" s="89" t="s">
        <v>9</v>
      </c>
      <c r="B7" s="89"/>
      <c r="C7" s="89"/>
      <c r="D7" s="89"/>
      <c r="E7" s="89"/>
      <c r="F7" s="89"/>
      <c r="G7" s="89"/>
      <c r="H7" s="89"/>
      <c r="I7" s="89"/>
      <c r="J7" s="89"/>
      <c r="K7" s="89"/>
    </row>
    <row r="8" spans="1:14" ht="28.8" x14ac:dyDescent="0.3">
      <c r="A8" s="48" t="s">
        <v>1</v>
      </c>
      <c r="B8" s="91" t="s">
        <v>9</v>
      </c>
      <c r="C8" s="92"/>
      <c r="D8" s="20" t="s">
        <v>46</v>
      </c>
      <c r="E8" s="9" t="s">
        <v>44</v>
      </c>
      <c r="F8" s="9" t="s">
        <v>45</v>
      </c>
      <c r="G8" s="14" t="s">
        <v>18</v>
      </c>
      <c r="H8" s="90" t="s">
        <v>28</v>
      </c>
      <c r="I8" s="90"/>
      <c r="J8" s="90"/>
      <c r="K8" s="90"/>
      <c r="M8" s="2"/>
      <c r="N8" s="2"/>
    </row>
    <row r="9" spans="1:14" ht="18" customHeight="1" x14ac:dyDescent="0.3">
      <c r="A9" s="29">
        <v>1</v>
      </c>
      <c r="B9" s="93" t="s">
        <v>24</v>
      </c>
      <c r="C9" s="94"/>
      <c r="D9" s="28">
        <v>3</v>
      </c>
      <c r="E9" s="7">
        <v>3</v>
      </c>
      <c r="F9" s="7">
        <v>3</v>
      </c>
      <c r="G9" s="22">
        <f>IF(D9="","",IF(D9=0,"-",IF(F9&gt;D9,"ERROR",IF(E9&gt;D9,"ERROR",IF(E9&lt;D9,0,IF(E9&gt;F9,0,IF(F9=D9,1,0)))))))</f>
        <v>1</v>
      </c>
      <c r="H9" s="88"/>
      <c r="I9" s="88"/>
      <c r="J9" s="88"/>
      <c r="K9" s="88"/>
    </row>
    <row r="10" spans="1:14" ht="18" customHeight="1" x14ac:dyDescent="0.3">
      <c r="A10" s="29">
        <v>2</v>
      </c>
      <c r="B10" s="93" t="s">
        <v>23</v>
      </c>
      <c r="C10" s="94"/>
      <c r="D10" s="28">
        <v>3</v>
      </c>
      <c r="E10" s="7">
        <v>3</v>
      </c>
      <c r="F10" s="7">
        <v>3</v>
      </c>
      <c r="G10" s="22">
        <f t="shared" ref="G10:G29" si="0">IF(D10="","",IF(D10=0,"-",IF(F10&gt;D10,"ERROR",IF(E10&gt;D10,"ERROR",IF(E10&lt;D10,0,IF(E10&gt;F10,0,IF(F10=D10,1,0)))))))</f>
        <v>1</v>
      </c>
      <c r="H10" s="88"/>
      <c r="I10" s="88"/>
      <c r="J10" s="88"/>
      <c r="K10" s="88"/>
    </row>
    <row r="11" spans="1:14" ht="18" customHeight="1" x14ac:dyDescent="0.3">
      <c r="A11" s="29">
        <v>3</v>
      </c>
      <c r="B11" s="93" t="s">
        <v>26</v>
      </c>
      <c r="C11" s="94"/>
      <c r="D11" s="28">
        <v>3</v>
      </c>
      <c r="E11" s="7">
        <v>3</v>
      </c>
      <c r="F11" s="7">
        <v>3</v>
      </c>
      <c r="G11" s="22">
        <f t="shared" si="0"/>
        <v>1</v>
      </c>
      <c r="H11" s="88"/>
      <c r="I11" s="88"/>
      <c r="J11" s="88"/>
      <c r="K11" s="88"/>
    </row>
    <row r="12" spans="1:14" ht="18" customHeight="1" x14ac:dyDescent="0.3">
      <c r="A12" s="29">
        <v>4</v>
      </c>
      <c r="B12" s="93" t="s">
        <v>25</v>
      </c>
      <c r="C12" s="94"/>
      <c r="D12" s="28">
        <v>3</v>
      </c>
      <c r="E12" s="7">
        <v>3</v>
      </c>
      <c r="F12" s="7">
        <v>3</v>
      </c>
      <c r="G12" s="22">
        <f t="shared" si="0"/>
        <v>1</v>
      </c>
      <c r="H12" s="88"/>
      <c r="I12" s="88"/>
      <c r="J12" s="88"/>
      <c r="K12" s="88"/>
    </row>
    <row r="13" spans="1:14" ht="18" customHeight="1" x14ac:dyDescent="0.3">
      <c r="A13" s="29">
        <v>5</v>
      </c>
      <c r="B13" s="93" t="s">
        <v>17</v>
      </c>
      <c r="C13" s="94"/>
      <c r="D13" s="28">
        <v>3</v>
      </c>
      <c r="E13" s="7">
        <v>3</v>
      </c>
      <c r="F13" s="7">
        <v>3</v>
      </c>
      <c r="G13" s="22">
        <f t="shared" si="0"/>
        <v>1</v>
      </c>
      <c r="H13" s="88"/>
      <c r="I13" s="88"/>
      <c r="J13" s="88"/>
      <c r="K13" s="88"/>
    </row>
    <row r="14" spans="1:14" ht="18" customHeight="1" x14ac:dyDescent="0.3">
      <c r="A14" s="29">
        <v>6</v>
      </c>
      <c r="B14" s="95" t="s">
        <v>49</v>
      </c>
      <c r="C14" s="96"/>
      <c r="D14" s="28">
        <v>1</v>
      </c>
      <c r="E14" s="7">
        <v>1</v>
      </c>
      <c r="F14" s="7">
        <v>1</v>
      </c>
      <c r="G14" s="22">
        <f t="shared" si="0"/>
        <v>1</v>
      </c>
      <c r="H14" s="88"/>
      <c r="I14" s="88"/>
      <c r="J14" s="88"/>
      <c r="K14" s="88"/>
      <c r="N14" s="54" t="s">
        <v>74</v>
      </c>
    </row>
    <row r="15" spans="1:14" ht="18" customHeight="1" x14ac:dyDescent="0.3">
      <c r="A15" s="145">
        <v>7</v>
      </c>
      <c r="B15" s="119" t="s">
        <v>19</v>
      </c>
      <c r="C15" s="120"/>
      <c r="D15" s="125">
        <v>3</v>
      </c>
      <c r="E15" s="128">
        <v>3</v>
      </c>
      <c r="F15" s="128">
        <v>3</v>
      </c>
      <c r="G15" s="113">
        <f>IF(D15="","",IF(D15=0,"-",IF(F15&gt;D15,"ERROR",IF(E15&gt;D15,"ERROR",IF(E15&lt;D15,0,IF(E15&gt;F15,0,IF(F15=D15,1,0)))))))</f>
        <v>1</v>
      </c>
      <c r="H15" s="52" t="s">
        <v>57</v>
      </c>
      <c r="I15" s="46"/>
      <c r="J15" s="52" t="s">
        <v>56</v>
      </c>
      <c r="K15" s="46"/>
      <c r="N15" s="54" t="s">
        <v>78</v>
      </c>
    </row>
    <row r="16" spans="1:14" ht="18" customHeight="1" x14ac:dyDescent="0.3">
      <c r="A16" s="146"/>
      <c r="B16" s="121"/>
      <c r="C16" s="122"/>
      <c r="D16" s="126"/>
      <c r="E16" s="129"/>
      <c r="F16" s="129"/>
      <c r="G16" s="114"/>
      <c r="H16" s="52" t="s">
        <v>58</v>
      </c>
      <c r="I16" s="46"/>
      <c r="J16" s="52" t="s">
        <v>56</v>
      </c>
      <c r="K16" s="46"/>
      <c r="M16" s="2"/>
      <c r="N16" s="54" t="s">
        <v>79</v>
      </c>
    </row>
    <row r="17" spans="1:14" ht="18" customHeight="1" x14ac:dyDescent="0.3">
      <c r="A17" s="146"/>
      <c r="B17" s="121"/>
      <c r="C17" s="122"/>
      <c r="D17" s="126"/>
      <c r="E17" s="129"/>
      <c r="F17" s="129"/>
      <c r="G17" s="114"/>
      <c r="H17" s="52" t="s">
        <v>59</v>
      </c>
      <c r="I17" s="46"/>
      <c r="J17" s="52" t="s">
        <v>56</v>
      </c>
      <c r="K17" s="46"/>
      <c r="M17" s="2"/>
      <c r="N17" s="54" t="s">
        <v>80</v>
      </c>
    </row>
    <row r="18" spans="1:14" ht="18" customHeight="1" x14ac:dyDescent="0.3">
      <c r="A18" s="146"/>
      <c r="B18" s="121"/>
      <c r="C18" s="122"/>
      <c r="D18" s="126"/>
      <c r="E18" s="129"/>
      <c r="F18" s="129"/>
      <c r="G18" s="114"/>
      <c r="H18" s="52" t="s">
        <v>60</v>
      </c>
      <c r="I18" s="46"/>
      <c r="J18" s="52" t="s">
        <v>56</v>
      </c>
      <c r="K18" s="46"/>
      <c r="M18" s="2"/>
      <c r="N18" s="2"/>
    </row>
    <row r="19" spans="1:14" ht="18" customHeight="1" x14ac:dyDescent="0.3">
      <c r="A19" s="146"/>
      <c r="B19" s="121"/>
      <c r="C19" s="122"/>
      <c r="D19" s="126"/>
      <c r="E19" s="129"/>
      <c r="F19" s="129"/>
      <c r="G19" s="114"/>
      <c r="H19" s="52" t="s">
        <v>61</v>
      </c>
      <c r="I19" s="46"/>
      <c r="J19" s="52" t="s">
        <v>56</v>
      </c>
      <c r="K19" s="46"/>
      <c r="M19" s="2"/>
      <c r="N19" s="2"/>
    </row>
    <row r="20" spans="1:14" ht="18" customHeight="1" x14ac:dyDescent="0.3">
      <c r="A20" s="146"/>
      <c r="B20" s="121"/>
      <c r="C20" s="122"/>
      <c r="D20" s="126"/>
      <c r="E20" s="129"/>
      <c r="F20" s="129"/>
      <c r="G20" s="114"/>
      <c r="H20" s="52" t="s">
        <v>62</v>
      </c>
      <c r="I20" s="45"/>
      <c r="J20" s="52" t="s">
        <v>56</v>
      </c>
      <c r="K20" s="46"/>
      <c r="M20" s="2"/>
      <c r="N20" s="2"/>
    </row>
    <row r="21" spans="1:14" ht="18.75" customHeight="1" x14ac:dyDescent="0.3">
      <c r="A21" s="146"/>
      <c r="B21" s="121"/>
      <c r="C21" s="122"/>
      <c r="D21" s="126"/>
      <c r="E21" s="129"/>
      <c r="F21" s="129"/>
      <c r="G21" s="114"/>
      <c r="H21" s="52" t="s">
        <v>63</v>
      </c>
      <c r="I21" s="45"/>
      <c r="J21" s="52" t="s">
        <v>56</v>
      </c>
      <c r="K21" s="46"/>
      <c r="L21" s="4"/>
      <c r="M21" s="2"/>
      <c r="N21" s="2"/>
    </row>
    <row r="22" spans="1:14" ht="18.75" customHeight="1" x14ac:dyDescent="0.3">
      <c r="A22" s="147"/>
      <c r="B22" s="123"/>
      <c r="C22" s="124"/>
      <c r="D22" s="127"/>
      <c r="E22" s="130"/>
      <c r="F22" s="130"/>
      <c r="G22" s="115"/>
      <c r="H22" s="116"/>
      <c r="I22" s="117"/>
      <c r="J22" s="117"/>
      <c r="K22" s="118"/>
      <c r="L22" s="4"/>
      <c r="M22" s="2"/>
      <c r="N22" s="2"/>
    </row>
    <row r="23" spans="1:14" ht="18" customHeight="1" x14ac:dyDescent="0.3">
      <c r="A23" s="29">
        <v>8</v>
      </c>
      <c r="B23" s="95" t="s">
        <v>16</v>
      </c>
      <c r="C23" s="96"/>
      <c r="D23" s="28">
        <v>1</v>
      </c>
      <c r="E23" s="7">
        <v>1</v>
      </c>
      <c r="F23" s="7">
        <v>1</v>
      </c>
      <c r="G23" s="22">
        <f t="shared" si="0"/>
        <v>1</v>
      </c>
      <c r="H23" s="88"/>
      <c r="I23" s="88"/>
      <c r="J23" s="88"/>
      <c r="K23" s="88"/>
      <c r="M23" s="2"/>
      <c r="N23" s="2"/>
    </row>
    <row r="24" spans="1:14" ht="18" customHeight="1" x14ac:dyDescent="0.3">
      <c r="A24" s="29">
        <v>9</v>
      </c>
      <c r="B24" s="95" t="s">
        <v>15</v>
      </c>
      <c r="C24" s="96"/>
      <c r="D24" s="28">
        <v>1</v>
      </c>
      <c r="E24" s="7">
        <v>1</v>
      </c>
      <c r="F24" s="7">
        <v>1</v>
      </c>
      <c r="G24" s="22">
        <f t="shared" si="0"/>
        <v>1</v>
      </c>
      <c r="H24" s="88"/>
      <c r="I24" s="88"/>
      <c r="J24" s="88"/>
      <c r="K24" s="88"/>
      <c r="M24" s="2"/>
      <c r="N24" s="2"/>
    </row>
    <row r="25" spans="1:14" ht="18" customHeight="1" x14ac:dyDescent="0.3">
      <c r="A25" s="29">
        <v>10</v>
      </c>
      <c r="B25" s="93" t="s">
        <v>8</v>
      </c>
      <c r="C25" s="94"/>
      <c r="D25" s="28">
        <v>3</v>
      </c>
      <c r="E25" s="7">
        <v>3</v>
      </c>
      <c r="F25" s="7">
        <v>3</v>
      </c>
      <c r="G25" s="22">
        <f t="shared" si="0"/>
        <v>1</v>
      </c>
      <c r="H25" s="88"/>
      <c r="I25" s="88"/>
      <c r="J25" s="88"/>
      <c r="K25" s="88"/>
      <c r="M25" s="2"/>
      <c r="N25" s="2"/>
    </row>
    <row r="26" spans="1:14" ht="18" customHeight="1" x14ac:dyDescent="0.3">
      <c r="A26" s="29">
        <v>11</v>
      </c>
      <c r="B26" s="154" t="s">
        <v>96</v>
      </c>
      <c r="C26" s="155"/>
      <c r="D26" s="28">
        <v>1</v>
      </c>
      <c r="E26" s="28">
        <v>1</v>
      </c>
      <c r="F26" s="28">
        <v>1</v>
      </c>
      <c r="G26" s="22">
        <f t="shared" si="0"/>
        <v>1</v>
      </c>
      <c r="H26" s="88"/>
      <c r="I26" s="88"/>
      <c r="J26" s="88"/>
      <c r="K26" s="88"/>
      <c r="M26" s="2"/>
      <c r="N26" s="2"/>
    </row>
    <row r="27" spans="1:14" ht="18" customHeight="1" x14ac:dyDescent="0.3">
      <c r="A27" s="29">
        <v>12</v>
      </c>
      <c r="B27" s="137" t="s">
        <v>54</v>
      </c>
      <c r="C27" s="138"/>
      <c r="D27" s="28">
        <v>1</v>
      </c>
      <c r="E27" s="7">
        <v>1</v>
      </c>
      <c r="F27" s="7">
        <v>1</v>
      </c>
      <c r="G27" s="22">
        <f t="shared" si="0"/>
        <v>1</v>
      </c>
      <c r="H27" s="141"/>
      <c r="I27" s="141"/>
      <c r="J27" s="141"/>
      <c r="K27" s="141"/>
    </row>
    <row r="28" spans="1:14" ht="18" customHeight="1" x14ac:dyDescent="0.3">
      <c r="A28" s="29">
        <v>13</v>
      </c>
      <c r="B28" s="139" t="s">
        <v>50</v>
      </c>
      <c r="C28" s="140"/>
      <c r="D28" s="47">
        <v>1</v>
      </c>
      <c r="E28" s="7">
        <v>1</v>
      </c>
      <c r="F28" s="7">
        <v>1</v>
      </c>
      <c r="G28" s="49">
        <f t="shared" si="0"/>
        <v>1</v>
      </c>
      <c r="H28" s="88"/>
      <c r="I28" s="88"/>
      <c r="J28" s="88"/>
      <c r="K28" s="88"/>
    </row>
    <row r="29" spans="1:14" ht="18" customHeight="1" thickBot="1" x14ac:dyDescent="0.35">
      <c r="A29" s="29">
        <v>14</v>
      </c>
      <c r="B29" s="134" t="s">
        <v>64</v>
      </c>
      <c r="C29" s="135"/>
      <c r="D29" s="28">
        <v>3</v>
      </c>
      <c r="E29" s="7">
        <v>3</v>
      </c>
      <c r="F29" s="7">
        <v>3</v>
      </c>
      <c r="G29" s="22">
        <f t="shared" si="0"/>
        <v>1</v>
      </c>
    </row>
    <row r="30" spans="1:14" ht="19.5" customHeight="1" thickBot="1" x14ac:dyDescent="0.35">
      <c r="A30" s="157" t="s">
        <v>51</v>
      </c>
      <c r="B30" s="158"/>
      <c r="C30" s="158"/>
      <c r="D30" s="158"/>
      <c r="E30" s="158"/>
      <c r="F30" s="158"/>
      <c r="G30" s="159">
        <f>IFERROR(AVERAGE(G9:G28),"-")</f>
        <v>1</v>
      </c>
      <c r="H30" s="160"/>
      <c r="I30" s="160"/>
      <c r="J30" s="160"/>
      <c r="K30" s="161"/>
    </row>
    <row r="31" spans="1:14" ht="17.25" customHeight="1" x14ac:dyDescent="0.3">
      <c r="A31" s="34"/>
      <c r="E31" s="17"/>
      <c r="F31" s="35"/>
      <c r="G31" s="36"/>
      <c r="H31" s="25"/>
      <c r="I31" s="26"/>
      <c r="J31" s="25"/>
    </row>
    <row r="32" spans="1:14" ht="28.5" customHeight="1" x14ac:dyDescent="0.3">
      <c r="A32" s="148" t="s">
        <v>53</v>
      </c>
      <c r="B32" s="148"/>
      <c r="C32" s="149" t="s">
        <v>103</v>
      </c>
      <c r="D32" s="149"/>
      <c r="E32" s="38"/>
      <c r="F32" s="38"/>
      <c r="G32" s="24"/>
      <c r="H32" s="26"/>
      <c r="I32" s="26"/>
      <c r="J32" s="25"/>
    </row>
    <row r="33" spans="1:16" x14ac:dyDescent="0.3">
      <c r="A33" s="148" t="s">
        <v>55</v>
      </c>
      <c r="B33" s="148"/>
      <c r="C33" s="150" t="s">
        <v>81</v>
      </c>
      <c r="D33" s="151"/>
      <c r="E33" s="39"/>
      <c r="F33" s="39"/>
      <c r="G33" s="27"/>
      <c r="H33" s="26"/>
      <c r="I33" s="26"/>
      <c r="J33" s="25"/>
      <c r="K33" s="79"/>
    </row>
    <row r="34" spans="1:16" ht="13.5" customHeight="1" x14ac:dyDescent="0.3">
      <c r="A34" s="40"/>
      <c r="B34" s="40"/>
      <c r="C34" s="41"/>
      <c r="D34" s="41"/>
      <c r="E34" s="39"/>
      <c r="F34" s="39"/>
      <c r="G34" s="27"/>
      <c r="H34" s="80"/>
      <c r="I34" s="80"/>
      <c r="J34" s="80"/>
      <c r="K34" s="80"/>
    </row>
    <row r="35" spans="1:16" ht="30.75" hidden="1" customHeight="1" x14ac:dyDescent="0.3">
      <c r="A35" s="74" t="s">
        <v>52</v>
      </c>
      <c r="B35" s="75"/>
      <c r="C35" s="75"/>
      <c r="D35" s="75"/>
      <c r="E35" s="75"/>
      <c r="F35" s="75"/>
      <c r="G35" s="75"/>
      <c r="H35" s="78"/>
      <c r="I35" s="76"/>
      <c r="J35" s="76"/>
      <c r="K35" s="77"/>
    </row>
    <row r="36" spans="1:16" x14ac:dyDescent="0.3">
      <c r="A36" s="136" t="s">
        <v>52</v>
      </c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M36" s="2"/>
      <c r="N36" s="2"/>
    </row>
    <row r="37" spans="1:16" x14ac:dyDescent="0.3">
      <c r="A37" s="136"/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M37" s="2"/>
      <c r="N37" s="2"/>
    </row>
    <row r="38" spans="1:16" x14ac:dyDescent="0.3">
      <c r="K38" s="79"/>
      <c r="M38" s="2"/>
      <c r="N38" s="2"/>
    </row>
    <row r="39" spans="1:16" ht="28.8" hidden="1" x14ac:dyDescent="0.3">
      <c r="K39" s="5" t="s">
        <v>10</v>
      </c>
      <c r="L39" s="5" t="s">
        <v>12</v>
      </c>
      <c r="M39" s="21" t="s">
        <v>48</v>
      </c>
      <c r="N39" s="21" t="s">
        <v>47</v>
      </c>
      <c r="O39" s="42" t="s">
        <v>29</v>
      </c>
    </row>
    <row r="40" spans="1:16" ht="15.6" hidden="1" x14ac:dyDescent="0.3">
      <c r="K40" s="1" t="str">
        <f>IF(MAESTRO!A1="","",MAESTRO!A1)</f>
        <v>******SUCURSALES</v>
      </c>
      <c r="L40" s="8" t="s">
        <v>13</v>
      </c>
      <c r="M40" s="6">
        <v>0</v>
      </c>
      <c r="N40" s="44" t="s">
        <v>13</v>
      </c>
      <c r="O40" s="6" t="s">
        <v>30</v>
      </c>
      <c r="P40" s="10"/>
    </row>
    <row r="41" spans="1:16" hidden="1" x14ac:dyDescent="0.3">
      <c r="K41" s="1" t="str">
        <f>IF(MAESTRO!A2="","",MAESTRO!A2)</f>
        <v>LA CASA DE LA CAÑA, C.A. (T. ALTERNA)</v>
      </c>
      <c r="L41" s="43" t="s">
        <v>14</v>
      </c>
      <c r="M41" s="15">
        <v>1</v>
      </c>
      <c r="N41" s="43" t="s">
        <v>14</v>
      </c>
      <c r="O41" s="6" t="s">
        <v>31</v>
      </c>
    </row>
    <row r="42" spans="1:16" hidden="1" x14ac:dyDescent="0.3">
      <c r="K42" s="1" t="str">
        <f>IF(MAESTRO!A3="","",MAESTRO!A3)</f>
        <v>LA CASA DE LA CAÑA, C.A. (T. ANACO)</v>
      </c>
      <c r="M42" s="16">
        <v>2</v>
      </c>
      <c r="N42" s="16"/>
      <c r="O42" s="6" t="s">
        <v>32</v>
      </c>
    </row>
    <row r="43" spans="1:16" hidden="1" x14ac:dyDescent="0.3">
      <c r="K43" s="1" t="str">
        <f>IF(MAESTRO!A4="","",MAESTRO!A4)</f>
        <v>LA CASA DE LA CAÑA, C.A. (T. CUMANÁ)</v>
      </c>
      <c r="M43" s="16">
        <v>3</v>
      </c>
      <c r="N43" s="16"/>
      <c r="O43" s="6" t="s">
        <v>33</v>
      </c>
    </row>
    <row r="44" spans="1:16" hidden="1" x14ac:dyDescent="0.3">
      <c r="K44" s="1" t="str">
        <f>IF(MAESTRO!A5="","",MAESTRO!A5)</f>
        <v>LA CASA DE LA CAÑA, C.A. (T. MATURÍN I)</v>
      </c>
      <c r="L44" s="1"/>
      <c r="M44" s="16">
        <v>4</v>
      </c>
      <c r="N44" s="15"/>
      <c r="O44" s="6" t="s">
        <v>34</v>
      </c>
    </row>
    <row r="45" spans="1:16" hidden="1" x14ac:dyDescent="0.3">
      <c r="K45" s="1" t="str">
        <f>IF(MAESTRO!A6="","",MAESTRO!A6)</f>
        <v>LA CASA DE LA CAÑA, C.A. (T. MATURÍN II)</v>
      </c>
      <c r="L45" s="1"/>
      <c r="M45" s="15">
        <v>5</v>
      </c>
      <c r="N45" s="15"/>
      <c r="O45" s="6" t="s">
        <v>35</v>
      </c>
    </row>
    <row r="46" spans="1:16" hidden="1" x14ac:dyDescent="0.3">
      <c r="K46" s="1" t="str">
        <f>IF(MAESTRO!A7="","",MAESTRO!A7)</f>
        <v>LA CASA DE LA CAÑA, C.A. (T. NVA. BARCELONA)</v>
      </c>
      <c r="L46" s="1"/>
      <c r="M46" s="15">
        <v>6</v>
      </c>
      <c r="N46" s="15"/>
      <c r="O46" s="6" t="s">
        <v>36</v>
      </c>
    </row>
    <row r="47" spans="1:16" hidden="1" x14ac:dyDescent="0.3">
      <c r="K47" s="1" t="str">
        <f>IF(MAESTRO!A8="","",MAESTRO!A8)</f>
        <v>INVERSIONES CAÑANDONGA,C.A (T. CONEJERO)</v>
      </c>
      <c r="L47" s="1"/>
      <c r="M47" s="15">
        <v>7</v>
      </c>
      <c r="N47" s="15"/>
      <c r="O47" s="6" t="s">
        <v>37</v>
      </c>
    </row>
    <row r="48" spans="1:16" hidden="1" x14ac:dyDescent="0.3">
      <c r="K48" s="1" t="str">
        <f>IF(MAESTRO!A9="","",MAESTRO!A9)</f>
        <v>OPERADORA EL MERCADO 2011, C.A. (T. MERCADO)</v>
      </c>
      <c r="L48" s="1"/>
      <c r="M48" s="15">
        <v>8</v>
      </c>
      <c r="N48" s="15"/>
      <c r="O48" s="6" t="s">
        <v>38</v>
      </c>
    </row>
    <row r="49" spans="5:15" hidden="1" x14ac:dyDescent="0.3">
      <c r="E49" s="2"/>
      <c r="F49" s="2"/>
      <c r="G49" s="2"/>
      <c r="K49" s="1" t="str">
        <f>IF(MAESTRO!A10="","",MAESTRO!A10)</f>
        <v>OPERADORA EL PUENTE 2011, C.A. (T. PUENTE REAL)</v>
      </c>
      <c r="L49" s="1"/>
      <c r="M49" s="15">
        <v>9</v>
      </c>
      <c r="N49" s="15"/>
      <c r="O49" s="6" t="s">
        <v>39</v>
      </c>
    </row>
    <row r="50" spans="5:15" hidden="1" x14ac:dyDescent="0.3">
      <c r="E50" s="2"/>
      <c r="F50" s="2"/>
      <c r="G50" s="2"/>
      <c r="K50" s="1" t="str">
        <f>IF(MAESTRO!A11="","",MAESTRO!A11)</f>
        <v>OPERADORA LECHERÍA 2011, C.A. (T. LECHERÍA)</v>
      </c>
      <c r="L50" s="1"/>
      <c r="M50" s="15">
        <v>10</v>
      </c>
      <c r="N50" s="15"/>
      <c r="O50" s="6" t="s">
        <v>40</v>
      </c>
    </row>
    <row r="51" spans="5:15" hidden="1" x14ac:dyDescent="0.3">
      <c r="E51" s="2"/>
      <c r="F51" s="2"/>
      <c r="G51" s="2"/>
      <c r="K51" s="1" t="str">
        <f>IF(MAESTRO!A12="","",MAESTRO!A12)</f>
        <v>OPERADORA PUERTO LA CRUZ 2011, C.A. (T. PUERTO LA CRUZ)</v>
      </c>
      <c r="L51" s="1"/>
      <c r="M51" s="15">
        <v>11</v>
      </c>
      <c r="N51" s="15"/>
      <c r="O51" s="6" t="s">
        <v>41</v>
      </c>
    </row>
    <row r="52" spans="5:15" hidden="1" x14ac:dyDescent="0.3">
      <c r="E52" s="2"/>
      <c r="F52" s="2"/>
      <c r="G52" s="2"/>
      <c r="K52" s="1" t="str">
        <f>IF(MAESTRO!A13="","",MAESTRO!A13)</f>
        <v>OPERADORA PUERTO ORDAZ 2013, C.A.(T. PUERTO ORDAZ)</v>
      </c>
      <c r="L52" s="1"/>
      <c r="M52" s="15">
        <v>12</v>
      </c>
      <c r="N52" s="15"/>
      <c r="O52" s="6"/>
    </row>
    <row r="53" spans="5:15" hidden="1" x14ac:dyDescent="0.3">
      <c r="E53" s="2"/>
      <c r="F53" s="2"/>
      <c r="G53" s="2"/>
      <c r="K53" s="1" t="str">
        <f>IF(MAESTRO!A14="","",MAESTRO!A14)</f>
        <v>OPERADORA LAS AMERICAS, C.A</v>
      </c>
      <c r="L53" s="1"/>
      <c r="M53" s="15">
        <v>13</v>
      </c>
      <c r="N53" s="15"/>
      <c r="O53" s="6"/>
    </row>
    <row r="54" spans="5:15" hidden="1" x14ac:dyDescent="0.3">
      <c r="E54" s="2"/>
      <c r="F54" s="2"/>
      <c r="G54" s="2"/>
      <c r="K54" s="1" t="str">
        <f>IF(MAESTRO!A15="","",MAESTRO!A15)</f>
        <v>OPERADORA PLAZA DEL SOL 2015, C.A</v>
      </c>
      <c r="L54" s="1"/>
      <c r="M54" s="15">
        <v>14</v>
      </c>
      <c r="N54" s="15"/>
      <c r="O54" s="6"/>
    </row>
    <row r="55" spans="5:15" hidden="1" x14ac:dyDescent="0.3">
      <c r="E55" s="2"/>
      <c r="F55" s="2"/>
      <c r="G55" s="2"/>
      <c r="K55" s="1" t="str">
        <f>IF(MAESTRO!A16="","",MAESTRO!A16)</f>
        <v>RELIVE, C.A. (T. CHUPARÍN)</v>
      </c>
      <c r="M55" s="15">
        <v>15</v>
      </c>
      <c r="O55" s="6"/>
    </row>
    <row r="56" spans="5:15" hidden="1" x14ac:dyDescent="0.3">
      <c r="E56" s="2"/>
      <c r="F56" s="2"/>
      <c r="G56" s="2"/>
      <c r="K56" s="1" t="str">
        <f>IF(MAESTRO!A17="","",MAESTRO!A17)</f>
        <v>RELIVE, C.A. (T. TERRAZAS)</v>
      </c>
    </row>
    <row r="57" spans="5:15" hidden="1" x14ac:dyDescent="0.3">
      <c r="K57" s="1" t="str">
        <f>IF(MAESTRO!A18="","",MAESTRO!A18)</f>
        <v>RELIVE, C.A. (T. TIGRE II)</v>
      </c>
    </row>
    <row r="58" spans="5:15" hidden="1" x14ac:dyDescent="0.3">
      <c r="K58" s="1" t="str">
        <f>IF(MAESTRO!A19="","",MAESTRO!A19)</f>
        <v>RELIVE, C.A. (T. TIGRE III)</v>
      </c>
    </row>
    <row r="59" spans="5:15" hidden="1" x14ac:dyDescent="0.3">
      <c r="K59" s="1" t="str">
        <f>IF(MAESTRO!A20="","",MAESTRO!A20)</f>
        <v/>
      </c>
    </row>
    <row r="60" spans="5:15" x14ac:dyDescent="0.3">
      <c r="K60" s="1" t="str">
        <f>IF(MAESTRO!A21="","",MAESTRO!A21)</f>
        <v/>
      </c>
    </row>
    <row r="61" spans="5:15" x14ac:dyDescent="0.3">
      <c r="K61" s="1"/>
    </row>
  </sheetData>
  <sheetProtection algorithmName="SHA-512" hashValue="qIDHxfQdsAU0NtGimQTlmVeW1kIQgDzPvySlCpB0f39ciVdSkUgnkA5VnI1YnO1RhLZ8q7J0JmkCbv3A7Z5juQ==" saltValue="y3kYDKqA+gq00u3hArJQxw==" spinCount="100000" sheet="1" selectLockedCells="1"/>
  <dataConsolidate/>
  <mergeCells count="48">
    <mergeCell ref="A36:K37"/>
    <mergeCell ref="A32:B32"/>
    <mergeCell ref="C32:D32"/>
    <mergeCell ref="A33:B33"/>
    <mergeCell ref="C33:D33"/>
    <mergeCell ref="G15:G22"/>
    <mergeCell ref="H22:K22"/>
    <mergeCell ref="H11:K11"/>
    <mergeCell ref="H12:K12"/>
    <mergeCell ref="H13:K13"/>
    <mergeCell ref="H14:K14"/>
    <mergeCell ref="B13:C13"/>
    <mergeCell ref="B11:C11"/>
    <mergeCell ref="B14:C14"/>
    <mergeCell ref="A15:A22"/>
    <mergeCell ref="D15:D22"/>
    <mergeCell ref="B15:C22"/>
    <mergeCell ref="E15:E22"/>
    <mergeCell ref="F15:F22"/>
    <mergeCell ref="J1:K1"/>
    <mergeCell ref="J3:K3"/>
    <mergeCell ref="C1:H3"/>
    <mergeCell ref="B10:C10"/>
    <mergeCell ref="A1:B3"/>
    <mergeCell ref="B9:C9"/>
    <mergeCell ref="C5:G5"/>
    <mergeCell ref="I5:J5"/>
    <mergeCell ref="B8:C8"/>
    <mergeCell ref="A7:K7"/>
    <mergeCell ref="H8:K8"/>
    <mergeCell ref="H9:K9"/>
    <mergeCell ref="B12:C12"/>
    <mergeCell ref="H10:K10"/>
    <mergeCell ref="H23:K23"/>
    <mergeCell ref="H24:K24"/>
    <mergeCell ref="B24:C24"/>
    <mergeCell ref="A30:F30"/>
    <mergeCell ref="H26:K26"/>
    <mergeCell ref="B25:C25"/>
    <mergeCell ref="H25:K25"/>
    <mergeCell ref="B27:C27"/>
    <mergeCell ref="B28:C28"/>
    <mergeCell ref="H27:K27"/>
    <mergeCell ref="B29:C29"/>
    <mergeCell ref="H28:K28"/>
    <mergeCell ref="B26:C26"/>
    <mergeCell ref="G30:K30"/>
    <mergeCell ref="B23:C23"/>
  </mergeCells>
  <dataValidations count="5">
    <dataValidation type="list" allowBlank="1" showInputMessage="1" showErrorMessage="1" sqref="D10:D14 D23:D25 D27:D29" xr:uid="{00000000-0002-0000-0200-000000000000}">
      <formula1>$M$33:$M$49</formula1>
    </dataValidation>
    <dataValidation type="list" allowBlank="1" showInputMessage="1" showErrorMessage="1" sqref="D9" xr:uid="{00000000-0002-0000-0200-000001000000}">
      <formula1>$M$33:$M$48</formula1>
    </dataValidation>
    <dataValidation type="list" allowBlank="1" showInputMessage="1" showErrorMessage="1" sqref="D15 E9:F15 E23:F25 E27:F29" xr:uid="{00000000-0002-0000-0200-000002000000}">
      <formula1>$M$41:$M$55</formula1>
    </dataValidation>
    <dataValidation type="list" allowBlank="1" showInputMessage="1" showErrorMessage="1" sqref="C5:G5" xr:uid="{00000000-0002-0000-0200-000003000000}">
      <formula1>$N$14:$N$17</formula1>
    </dataValidation>
    <dataValidation type="list" allowBlank="1" showInputMessage="1" showErrorMessage="1" sqref="D26:F26" xr:uid="{00000000-0002-0000-0200-000004000000}">
      <formula1>$M$34:$M$50</formula1>
    </dataValidation>
  </dataValidations>
  <pageMargins left="0.39370078740157483" right="0.39370078740157483" top="0.59055118110236227" bottom="0.59055118110236227" header="0.31496062992125984" footer="0.31496062992125984"/>
  <pageSetup scale="68" orientation="portrait" r:id="rId1"/>
  <headerFooter>
    <oddFooter>&amp;RPág. &amp;P -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P61"/>
  <sheetViews>
    <sheetView view="pageBreakPreview" topLeftCell="C16" zoomScaleNormal="100" zoomScaleSheetLayoutView="10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14.33203125" style="2" customWidth="1" collapsed="1"/>
    <col min="3" max="3" width="23.664062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1.5546875" style="2" customWidth="1" collapsed="1"/>
    <col min="12" max="12" width="14.44140625" style="2" customWidth="1" collapsed="1"/>
    <col min="13" max="14" width="11.44140625" style="6" customWidth="1" collapsed="1"/>
    <col min="15" max="16" width="11.44140625" style="2" customWidth="1" collapsed="1"/>
    <col min="17" max="16384" width="11.44140625" style="2" collapsed="1"/>
  </cols>
  <sheetData>
    <row r="1" spans="1:15" ht="15" customHeight="1" x14ac:dyDescent="0.3">
      <c r="A1" s="97"/>
      <c r="B1" s="97"/>
      <c r="C1" s="107" t="s">
        <v>11</v>
      </c>
      <c r="D1" s="108"/>
      <c r="E1" s="108"/>
      <c r="F1" s="108"/>
      <c r="G1" s="108"/>
      <c r="H1" s="109"/>
      <c r="I1" s="30" t="s">
        <v>20</v>
      </c>
      <c r="J1" s="162" t="s">
        <v>43</v>
      </c>
      <c r="K1" s="156"/>
    </row>
    <row r="2" spans="1:15" ht="20.25" customHeight="1" x14ac:dyDescent="0.3">
      <c r="A2" s="97"/>
      <c r="B2" s="97"/>
      <c r="C2" s="107"/>
      <c r="D2" s="108"/>
      <c r="E2" s="108"/>
      <c r="F2" s="108"/>
      <c r="G2" s="108"/>
      <c r="H2" s="109"/>
      <c r="I2" s="30" t="s">
        <v>21</v>
      </c>
      <c r="J2" s="31" t="s">
        <v>77</v>
      </c>
      <c r="K2" s="53">
        <v>42720</v>
      </c>
    </row>
    <row r="3" spans="1:15" x14ac:dyDescent="0.3">
      <c r="A3" s="97"/>
      <c r="B3" s="97"/>
      <c r="C3" s="107"/>
      <c r="D3" s="108"/>
      <c r="E3" s="108"/>
      <c r="F3" s="108"/>
      <c r="G3" s="108"/>
      <c r="H3" s="109"/>
      <c r="I3" s="30" t="s">
        <v>22</v>
      </c>
      <c r="J3" s="163">
        <v>42286</v>
      </c>
      <c r="K3" s="163"/>
    </row>
    <row r="4" spans="1:15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15" ht="15.75" customHeight="1" x14ac:dyDescent="0.3">
      <c r="A5" s="3"/>
      <c r="B5" s="13" t="s">
        <v>27</v>
      </c>
      <c r="C5" s="98" t="s">
        <v>79</v>
      </c>
      <c r="D5" s="98"/>
      <c r="E5" s="98"/>
      <c r="F5" s="98"/>
      <c r="G5" s="98"/>
      <c r="H5" s="13" t="s">
        <v>0</v>
      </c>
      <c r="I5" s="99">
        <v>46157</v>
      </c>
      <c r="J5" s="99"/>
    </row>
    <row r="6" spans="1:15" ht="15.75" customHeight="1" x14ac:dyDescent="0.3">
      <c r="A6" s="18"/>
      <c r="E6" s="19"/>
      <c r="F6" s="19"/>
      <c r="G6" s="11"/>
    </row>
    <row r="7" spans="1:15" ht="15.6" x14ac:dyDescent="0.3">
      <c r="A7" s="89" t="s">
        <v>9</v>
      </c>
      <c r="B7" s="89"/>
      <c r="C7" s="89"/>
      <c r="D7" s="89"/>
      <c r="E7" s="89"/>
      <c r="F7" s="89"/>
      <c r="G7" s="89"/>
      <c r="H7" s="89"/>
      <c r="I7" s="89"/>
      <c r="J7" s="89"/>
      <c r="K7" s="89"/>
    </row>
    <row r="8" spans="1:15" ht="28.8" x14ac:dyDescent="0.3">
      <c r="A8" s="48" t="s">
        <v>1</v>
      </c>
      <c r="B8" s="91" t="s">
        <v>9</v>
      </c>
      <c r="C8" s="92"/>
      <c r="D8" s="20" t="s">
        <v>46</v>
      </c>
      <c r="E8" s="9" t="s">
        <v>44</v>
      </c>
      <c r="F8" s="9" t="s">
        <v>45</v>
      </c>
      <c r="G8" s="14" t="s">
        <v>18</v>
      </c>
      <c r="H8" s="90" t="s">
        <v>28</v>
      </c>
      <c r="I8" s="90"/>
      <c r="J8" s="90"/>
      <c r="K8" s="90"/>
      <c r="M8" s="2"/>
      <c r="N8" s="2"/>
    </row>
    <row r="9" spans="1:15" ht="18" customHeight="1" x14ac:dyDescent="0.3">
      <c r="A9" s="29">
        <v>1</v>
      </c>
      <c r="B9" s="93" t="s">
        <v>24</v>
      </c>
      <c r="C9" s="94"/>
      <c r="D9" s="28">
        <v>3</v>
      </c>
      <c r="E9" s="7">
        <v>3</v>
      </c>
      <c r="F9" s="7">
        <v>3</v>
      </c>
      <c r="G9" s="22">
        <f>IF(D9="","",IF(D9=0,"-",IF(F9&gt;D9,"ERROR",IF(E9&gt;D9,"ERROR",IF(E9&lt;D9,0,IF(E9&gt;F9,0,IF(F9=D9,1,0)))))))</f>
        <v>1</v>
      </c>
      <c r="H9" s="88"/>
      <c r="I9" s="88"/>
      <c r="J9" s="88"/>
      <c r="K9" s="88"/>
    </row>
    <row r="10" spans="1:15" ht="18" customHeight="1" x14ac:dyDescent="0.3">
      <c r="A10" s="29">
        <v>2</v>
      </c>
      <c r="B10" s="93" t="s">
        <v>23</v>
      </c>
      <c r="C10" s="94"/>
      <c r="D10" s="28">
        <v>3</v>
      </c>
      <c r="E10" s="7">
        <v>3</v>
      </c>
      <c r="F10" s="7">
        <v>3</v>
      </c>
      <c r="G10" s="22">
        <f t="shared" ref="G10:G29" si="0">IF(D10="","",IF(D10=0,"-",IF(F10&gt;D10,"ERROR",IF(E10&gt;D10,"ERROR",IF(E10&lt;D10,0,IF(E10&gt;F10,0,IF(F10=D10,1,0)))))))</f>
        <v>1</v>
      </c>
      <c r="H10" s="88"/>
      <c r="I10" s="88"/>
      <c r="J10" s="88"/>
      <c r="K10" s="88"/>
    </row>
    <row r="11" spans="1:15" ht="18" customHeight="1" x14ac:dyDescent="0.3">
      <c r="A11" s="29">
        <v>3</v>
      </c>
      <c r="B11" s="93" t="s">
        <v>26</v>
      </c>
      <c r="C11" s="94"/>
      <c r="D11" s="28">
        <v>3</v>
      </c>
      <c r="E11" s="7">
        <v>3</v>
      </c>
      <c r="F11" s="7">
        <v>3</v>
      </c>
      <c r="G11" s="22">
        <f t="shared" si="0"/>
        <v>1</v>
      </c>
      <c r="H11" s="88"/>
      <c r="I11" s="88"/>
      <c r="J11" s="88"/>
      <c r="K11" s="88"/>
    </row>
    <row r="12" spans="1:15" ht="18" customHeight="1" x14ac:dyDescent="0.3">
      <c r="A12" s="29">
        <v>4</v>
      </c>
      <c r="B12" s="93" t="s">
        <v>25</v>
      </c>
      <c r="C12" s="94"/>
      <c r="D12" s="28">
        <v>3</v>
      </c>
      <c r="E12" s="7">
        <v>3</v>
      </c>
      <c r="F12" s="7">
        <v>3</v>
      </c>
      <c r="G12" s="22">
        <f t="shared" si="0"/>
        <v>1</v>
      </c>
      <c r="H12" s="88"/>
      <c r="I12" s="88"/>
      <c r="J12" s="88"/>
      <c r="K12" s="88"/>
    </row>
    <row r="13" spans="1:15" ht="18" customHeight="1" x14ac:dyDescent="0.3">
      <c r="A13" s="29">
        <v>5</v>
      </c>
      <c r="B13" s="93" t="s">
        <v>17</v>
      </c>
      <c r="C13" s="94"/>
      <c r="D13" s="28">
        <v>3</v>
      </c>
      <c r="E13" s="7">
        <v>3</v>
      </c>
      <c r="F13" s="7">
        <v>3</v>
      </c>
      <c r="G13" s="22">
        <f t="shared" si="0"/>
        <v>1</v>
      </c>
      <c r="H13" s="88"/>
      <c r="I13" s="88"/>
      <c r="J13" s="88"/>
      <c r="K13" s="88"/>
    </row>
    <row r="14" spans="1:15" ht="18" customHeight="1" x14ac:dyDescent="0.3">
      <c r="A14" s="29">
        <v>6</v>
      </c>
      <c r="B14" s="95" t="s">
        <v>49</v>
      </c>
      <c r="C14" s="96"/>
      <c r="D14" s="28">
        <v>1</v>
      </c>
      <c r="E14" s="7">
        <v>1</v>
      </c>
      <c r="F14" s="7">
        <v>1</v>
      </c>
      <c r="G14" s="22">
        <f t="shared" si="0"/>
        <v>1</v>
      </c>
      <c r="H14" s="88"/>
      <c r="I14" s="88"/>
      <c r="J14" s="88"/>
      <c r="K14" s="88"/>
      <c r="O14" s="54" t="s">
        <v>74</v>
      </c>
    </row>
    <row r="15" spans="1:15" ht="18" customHeight="1" x14ac:dyDescent="0.3">
      <c r="A15" s="145">
        <v>7</v>
      </c>
      <c r="B15" s="119" t="s">
        <v>19</v>
      </c>
      <c r="C15" s="120"/>
      <c r="D15" s="125">
        <v>2</v>
      </c>
      <c r="E15" s="128">
        <v>2</v>
      </c>
      <c r="F15" s="128">
        <v>2</v>
      </c>
      <c r="G15" s="113">
        <f>IF(D15="","",IF(D15=0,"-",IF(F15&gt;D15,"ERROR",IF(E15&gt;D15,"ERROR",IF(E15&lt;D15,0,IF(E15&gt;F15,0,IF(F15=D15,1,0)))))))</f>
        <v>1</v>
      </c>
      <c r="H15" s="52" t="s">
        <v>57</v>
      </c>
      <c r="I15" s="46"/>
      <c r="J15" s="52" t="s">
        <v>56</v>
      </c>
      <c r="K15" s="46"/>
      <c r="O15" s="54" t="s">
        <v>76</v>
      </c>
    </row>
    <row r="16" spans="1:15" ht="18" customHeight="1" x14ac:dyDescent="0.3">
      <c r="A16" s="146"/>
      <c r="B16" s="121"/>
      <c r="C16" s="122"/>
      <c r="D16" s="126"/>
      <c r="E16" s="129"/>
      <c r="F16" s="129"/>
      <c r="G16" s="114"/>
      <c r="H16" s="52" t="s">
        <v>58</v>
      </c>
      <c r="I16" s="46"/>
      <c r="J16" s="52" t="s">
        <v>56</v>
      </c>
      <c r="K16" s="46"/>
      <c r="M16" s="2"/>
      <c r="N16" s="2"/>
      <c r="O16" s="54" t="s">
        <v>78</v>
      </c>
    </row>
    <row r="17" spans="1:15" ht="18" customHeight="1" x14ac:dyDescent="0.3">
      <c r="A17" s="146"/>
      <c r="B17" s="121"/>
      <c r="C17" s="122"/>
      <c r="D17" s="126"/>
      <c r="E17" s="129"/>
      <c r="F17" s="129"/>
      <c r="G17" s="114"/>
      <c r="H17" s="52" t="s">
        <v>59</v>
      </c>
      <c r="I17" s="46"/>
      <c r="J17" s="52" t="s">
        <v>56</v>
      </c>
      <c r="K17" s="46"/>
      <c r="M17" s="2"/>
      <c r="N17" s="2"/>
      <c r="O17" s="54" t="s">
        <v>79</v>
      </c>
    </row>
    <row r="18" spans="1:15" ht="18" customHeight="1" x14ac:dyDescent="0.3">
      <c r="A18" s="146"/>
      <c r="B18" s="121"/>
      <c r="C18" s="122"/>
      <c r="D18" s="126"/>
      <c r="E18" s="129"/>
      <c r="F18" s="129"/>
      <c r="G18" s="114"/>
      <c r="H18" s="52" t="s">
        <v>60</v>
      </c>
      <c r="I18" s="46"/>
      <c r="J18" s="52" t="s">
        <v>56</v>
      </c>
      <c r="K18" s="46"/>
      <c r="M18" s="2"/>
      <c r="N18" s="2"/>
      <c r="O18" s="54" t="s">
        <v>80</v>
      </c>
    </row>
    <row r="19" spans="1:15" ht="18" customHeight="1" x14ac:dyDescent="0.3">
      <c r="A19" s="146"/>
      <c r="B19" s="121"/>
      <c r="C19" s="122"/>
      <c r="D19" s="126"/>
      <c r="E19" s="129"/>
      <c r="F19" s="129"/>
      <c r="G19" s="114"/>
      <c r="H19" s="52" t="s">
        <v>61</v>
      </c>
      <c r="I19" s="46"/>
      <c r="J19" s="52" t="s">
        <v>56</v>
      </c>
      <c r="K19" s="46"/>
      <c r="M19" s="2"/>
      <c r="N19" s="2"/>
    </row>
    <row r="20" spans="1:15" ht="18" customHeight="1" x14ac:dyDescent="0.3">
      <c r="A20" s="146"/>
      <c r="B20" s="121"/>
      <c r="C20" s="122"/>
      <c r="D20" s="126"/>
      <c r="E20" s="129"/>
      <c r="F20" s="129"/>
      <c r="G20" s="114"/>
      <c r="H20" s="52" t="s">
        <v>62</v>
      </c>
      <c r="I20" s="45"/>
      <c r="J20" s="52" t="s">
        <v>56</v>
      </c>
      <c r="K20" s="46"/>
      <c r="M20" s="2"/>
      <c r="N20" s="2"/>
    </row>
    <row r="21" spans="1:15" ht="18.75" customHeight="1" x14ac:dyDescent="0.3">
      <c r="A21" s="146"/>
      <c r="B21" s="121"/>
      <c r="C21" s="122"/>
      <c r="D21" s="126"/>
      <c r="E21" s="129"/>
      <c r="F21" s="129"/>
      <c r="G21" s="114"/>
      <c r="H21" s="52" t="s">
        <v>63</v>
      </c>
      <c r="I21" s="45"/>
      <c r="J21" s="52" t="s">
        <v>56</v>
      </c>
      <c r="K21" s="46"/>
      <c r="L21" s="4"/>
      <c r="M21" s="2"/>
      <c r="N21" s="2"/>
    </row>
    <row r="22" spans="1:15" ht="18.75" customHeight="1" x14ac:dyDescent="0.3">
      <c r="A22" s="147"/>
      <c r="B22" s="123"/>
      <c r="C22" s="124"/>
      <c r="D22" s="127"/>
      <c r="E22" s="130"/>
      <c r="F22" s="130"/>
      <c r="G22" s="115"/>
      <c r="H22" s="116" t="s">
        <v>98</v>
      </c>
      <c r="I22" s="117"/>
      <c r="J22" s="117"/>
      <c r="K22" s="118"/>
      <c r="L22" s="4"/>
      <c r="M22" s="2"/>
      <c r="N22" s="2"/>
    </row>
    <row r="23" spans="1:15" ht="18" customHeight="1" x14ac:dyDescent="0.3">
      <c r="A23" s="29">
        <v>8</v>
      </c>
      <c r="B23" s="95" t="s">
        <v>16</v>
      </c>
      <c r="C23" s="96"/>
      <c r="D23" s="28">
        <v>1</v>
      </c>
      <c r="E23" s="7">
        <v>1</v>
      </c>
      <c r="F23" s="7">
        <v>1</v>
      </c>
      <c r="G23" s="22">
        <f t="shared" si="0"/>
        <v>1</v>
      </c>
      <c r="H23" s="88"/>
      <c r="I23" s="88"/>
      <c r="J23" s="88"/>
      <c r="K23" s="88"/>
      <c r="M23" s="2"/>
      <c r="N23" s="2"/>
    </row>
    <row r="24" spans="1:15" ht="18" customHeight="1" x14ac:dyDescent="0.3">
      <c r="A24" s="29">
        <v>9</v>
      </c>
      <c r="B24" s="95" t="s">
        <v>15</v>
      </c>
      <c r="C24" s="96"/>
      <c r="D24" s="28">
        <v>1</v>
      </c>
      <c r="E24" s="7">
        <v>1</v>
      </c>
      <c r="F24" s="7">
        <v>1</v>
      </c>
      <c r="G24" s="22">
        <f t="shared" si="0"/>
        <v>1</v>
      </c>
      <c r="H24" s="88"/>
      <c r="I24" s="88"/>
      <c r="J24" s="88"/>
      <c r="K24" s="88"/>
      <c r="M24" s="2"/>
      <c r="N24" s="2"/>
    </row>
    <row r="25" spans="1:15" ht="18" customHeight="1" x14ac:dyDescent="0.3">
      <c r="A25" s="29">
        <v>10</v>
      </c>
      <c r="B25" s="93" t="s">
        <v>8</v>
      </c>
      <c r="C25" s="94"/>
      <c r="D25" s="28">
        <v>3</v>
      </c>
      <c r="E25" s="7">
        <v>3</v>
      </c>
      <c r="F25" s="7">
        <v>3</v>
      </c>
      <c r="G25" s="22">
        <f t="shared" si="0"/>
        <v>1</v>
      </c>
      <c r="H25" s="88"/>
      <c r="I25" s="88"/>
      <c r="J25" s="88"/>
      <c r="K25" s="88"/>
      <c r="M25" s="2"/>
      <c r="N25" s="2"/>
    </row>
    <row r="26" spans="1:15" ht="18" customHeight="1" x14ac:dyDescent="0.3">
      <c r="A26" s="29">
        <v>11</v>
      </c>
      <c r="B26" s="154" t="s">
        <v>96</v>
      </c>
      <c r="C26" s="155"/>
      <c r="D26" s="28">
        <v>1</v>
      </c>
      <c r="E26" s="28">
        <v>1</v>
      </c>
      <c r="F26" s="28">
        <v>1</v>
      </c>
      <c r="G26" s="22">
        <f t="shared" si="0"/>
        <v>1</v>
      </c>
      <c r="H26" s="88"/>
      <c r="I26" s="88"/>
      <c r="J26" s="88"/>
      <c r="K26" s="88"/>
      <c r="M26" s="2"/>
      <c r="N26" s="2"/>
    </row>
    <row r="27" spans="1:15" ht="18" customHeight="1" x14ac:dyDescent="0.3">
      <c r="A27" s="29">
        <v>12</v>
      </c>
      <c r="B27" s="137" t="s">
        <v>54</v>
      </c>
      <c r="C27" s="138"/>
      <c r="D27" s="28">
        <v>1</v>
      </c>
      <c r="E27" s="7">
        <v>1</v>
      </c>
      <c r="F27" s="7">
        <v>1</v>
      </c>
      <c r="G27" s="22">
        <f t="shared" si="0"/>
        <v>1</v>
      </c>
      <c r="H27" s="88"/>
      <c r="I27" s="88"/>
      <c r="J27" s="88"/>
      <c r="K27" s="88"/>
    </row>
    <row r="28" spans="1:15" ht="18" customHeight="1" x14ac:dyDescent="0.3">
      <c r="A28" s="29">
        <v>13</v>
      </c>
      <c r="B28" s="139" t="s">
        <v>50</v>
      </c>
      <c r="C28" s="140"/>
      <c r="D28" s="47">
        <v>1</v>
      </c>
      <c r="E28" s="7">
        <v>1</v>
      </c>
      <c r="F28" s="7">
        <v>1</v>
      </c>
      <c r="G28" s="49">
        <f t="shared" si="0"/>
        <v>1</v>
      </c>
      <c r="H28" s="141"/>
      <c r="I28" s="141"/>
      <c r="J28" s="141"/>
      <c r="K28" s="141"/>
    </row>
    <row r="29" spans="1:15" ht="18" customHeight="1" thickBot="1" x14ac:dyDescent="0.35">
      <c r="A29" s="29">
        <v>14</v>
      </c>
      <c r="B29" s="134" t="s">
        <v>64</v>
      </c>
      <c r="C29" s="135"/>
      <c r="D29" s="28">
        <v>2</v>
      </c>
      <c r="E29" s="7">
        <v>2</v>
      </c>
      <c r="F29" s="7">
        <v>2</v>
      </c>
      <c r="G29" s="22">
        <f t="shared" si="0"/>
        <v>1</v>
      </c>
      <c r="H29" s="88"/>
      <c r="I29" s="88"/>
      <c r="J29" s="88"/>
      <c r="K29" s="88"/>
    </row>
    <row r="30" spans="1:15" ht="19.5" customHeight="1" thickBot="1" x14ac:dyDescent="0.35">
      <c r="A30" s="157" t="s">
        <v>51</v>
      </c>
      <c r="B30" s="158"/>
      <c r="C30" s="158"/>
      <c r="D30" s="158"/>
      <c r="E30" s="158"/>
      <c r="F30" s="158"/>
      <c r="G30" s="159">
        <f>IFERROR(AVERAGE(G9:G28),"-")</f>
        <v>1</v>
      </c>
      <c r="H30" s="160"/>
      <c r="I30" s="160"/>
      <c r="J30" s="160"/>
      <c r="K30" s="161"/>
    </row>
    <row r="31" spans="1:15" ht="17.25" customHeight="1" x14ac:dyDescent="0.3">
      <c r="A31" s="34"/>
      <c r="E31" s="17"/>
      <c r="F31" s="35"/>
      <c r="G31" s="36"/>
      <c r="H31" s="25"/>
      <c r="I31" s="37"/>
      <c r="J31" s="23"/>
    </row>
    <row r="32" spans="1:15" ht="28.5" customHeight="1" x14ac:dyDescent="0.3">
      <c r="A32" s="148" t="s">
        <v>53</v>
      </c>
      <c r="B32" s="148"/>
      <c r="C32" s="149" t="s">
        <v>97</v>
      </c>
      <c r="D32" s="149"/>
      <c r="E32" s="38"/>
      <c r="F32" s="38"/>
      <c r="G32" s="24"/>
      <c r="H32" s="25"/>
      <c r="I32" s="26"/>
      <c r="J32" s="25"/>
    </row>
    <row r="33" spans="1:16" x14ac:dyDescent="0.3">
      <c r="A33" s="148" t="s">
        <v>55</v>
      </c>
      <c r="B33" s="148"/>
      <c r="C33" s="150" t="s">
        <v>81</v>
      </c>
      <c r="D33" s="151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36" t="s">
        <v>52</v>
      </c>
      <c r="B35" s="136"/>
      <c r="C35" s="136"/>
      <c r="D35" s="136"/>
      <c r="E35" s="136"/>
      <c r="F35" s="136"/>
      <c r="G35" s="136"/>
      <c r="H35" s="136"/>
      <c r="I35" s="136"/>
      <c r="J35" s="136"/>
      <c r="K35" s="136"/>
    </row>
    <row r="36" spans="1:16" x14ac:dyDescent="0.3">
      <c r="A36" s="136"/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M36" s="2"/>
      <c r="N36" s="2"/>
    </row>
    <row r="37" spans="1:16" x14ac:dyDescent="0.3">
      <c r="M37" s="2"/>
      <c r="N37" s="2"/>
    </row>
    <row r="38" spans="1:16" x14ac:dyDescent="0.3">
      <c r="M38" s="2"/>
      <c r="N38" s="2"/>
    </row>
    <row r="39" spans="1:16" ht="28.8" hidden="1" x14ac:dyDescent="0.3">
      <c r="L39" s="5" t="s">
        <v>12</v>
      </c>
      <c r="M39" s="21" t="s">
        <v>48</v>
      </c>
      <c r="N39" s="21" t="s">
        <v>47</v>
      </c>
      <c r="O39" s="42" t="s">
        <v>29</v>
      </c>
    </row>
    <row r="40" spans="1:16" ht="15.6" hidden="1" x14ac:dyDescent="0.3">
      <c r="K40" s="5" t="s">
        <v>10</v>
      </c>
      <c r="L40" s="8" t="s">
        <v>13</v>
      </c>
      <c r="M40" s="6">
        <v>0</v>
      </c>
      <c r="N40" s="44" t="s">
        <v>13</v>
      </c>
      <c r="O40" s="6" t="s">
        <v>30</v>
      </c>
      <c r="P40" s="10"/>
    </row>
    <row r="41" spans="1:16" hidden="1" x14ac:dyDescent="0.3">
      <c r="K41" s="1" t="str">
        <f>IF(MAESTRO!A1="","",MAESTRO!A1)</f>
        <v>******SUCURSALES</v>
      </c>
      <c r="L41" s="43" t="s">
        <v>14</v>
      </c>
      <c r="M41" s="15">
        <v>1</v>
      </c>
      <c r="N41" s="43" t="s">
        <v>14</v>
      </c>
      <c r="O41" s="6" t="s">
        <v>31</v>
      </c>
    </row>
    <row r="42" spans="1:16" hidden="1" x14ac:dyDescent="0.3">
      <c r="K42" s="1" t="str">
        <f>IF(MAESTRO!A2="","",MAESTRO!A2)</f>
        <v>LA CASA DE LA CAÑA, C.A. (T. ALTERNA)</v>
      </c>
      <c r="M42" s="16">
        <v>2</v>
      </c>
      <c r="N42" s="16"/>
      <c r="O42" s="6" t="s">
        <v>32</v>
      </c>
    </row>
    <row r="43" spans="1:16" hidden="1" x14ac:dyDescent="0.3">
      <c r="K43" s="1" t="str">
        <f>IF(MAESTRO!A3="","",MAESTRO!A3)</f>
        <v>LA CASA DE LA CAÑA, C.A. (T. ANACO)</v>
      </c>
      <c r="M43" s="16">
        <v>3</v>
      </c>
      <c r="N43" s="16"/>
      <c r="O43" s="6" t="s">
        <v>33</v>
      </c>
    </row>
    <row r="44" spans="1:16" hidden="1" x14ac:dyDescent="0.3">
      <c r="K44" s="1" t="str">
        <f>IF(MAESTRO!A4="","",MAESTRO!A4)</f>
        <v>LA CASA DE LA CAÑA, C.A. (T. CUMANÁ)</v>
      </c>
      <c r="L44" s="1"/>
      <c r="M44" s="16">
        <v>4</v>
      </c>
      <c r="N44" s="15"/>
      <c r="O44" s="6" t="s">
        <v>34</v>
      </c>
    </row>
    <row r="45" spans="1:16" hidden="1" x14ac:dyDescent="0.3">
      <c r="K45" s="1" t="str">
        <f>IF(MAESTRO!A5="","",MAESTRO!A5)</f>
        <v>LA CASA DE LA CAÑA, C.A. (T. MATURÍN I)</v>
      </c>
      <c r="L45" s="1"/>
      <c r="M45" s="15">
        <v>5</v>
      </c>
      <c r="N45" s="15"/>
      <c r="O45" s="6" t="s">
        <v>35</v>
      </c>
    </row>
    <row r="46" spans="1:16" hidden="1" x14ac:dyDescent="0.3">
      <c r="K46" s="1" t="str">
        <f>IF(MAESTRO!A6="","",MAESTRO!A6)</f>
        <v>LA CASA DE LA CAÑA, C.A. (T. MATURÍN II)</v>
      </c>
      <c r="L46" s="1"/>
      <c r="M46" s="15">
        <v>6</v>
      </c>
      <c r="N46" s="15"/>
      <c r="O46" s="6" t="s">
        <v>36</v>
      </c>
    </row>
    <row r="47" spans="1:16" hidden="1" x14ac:dyDescent="0.3">
      <c r="K47" s="1" t="str">
        <f>IF(MAESTRO!A7="","",MAESTRO!A7)</f>
        <v>LA CASA DE LA CAÑA, C.A. (T. NVA. BARCELONA)</v>
      </c>
      <c r="L47" s="1"/>
      <c r="M47" s="15">
        <v>7</v>
      </c>
      <c r="N47" s="15"/>
      <c r="O47" s="6" t="s">
        <v>37</v>
      </c>
    </row>
    <row r="48" spans="1:16" hidden="1" x14ac:dyDescent="0.3">
      <c r="K48" s="1" t="str">
        <f>IF(MAESTRO!A8="","",MAESTRO!A8)</f>
        <v>INVERSIONES CAÑANDONGA,C.A (T. CONEJERO)</v>
      </c>
      <c r="L48" s="1"/>
      <c r="M48" s="15">
        <v>8</v>
      </c>
      <c r="N48" s="15"/>
      <c r="O48" s="6" t="s">
        <v>38</v>
      </c>
    </row>
    <row r="49" spans="5:15" hidden="1" x14ac:dyDescent="0.3">
      <c r="E49" s="2"/>
      <c r="F49" s="2"/>
      <c r="G49" s="2"/>
      <c r="K49" s="1" t="str">
        <f>IF(MAESTRO!A9="","",MAESTRO!A9)</f>
        <v>OPERADORA EL MERCADO 2011, C.A. (T. MERCADO)</v>
      </c>
      <c r="L49" s="1"/>
      <c r="M49" s="15">
        <v>9</v>
      </c>
      <c r="N49" s="15"/>
      <c r="O49" s="6" t="s">
        <v>39</v>
      </c>
    </row>
    <row r="50" spans="5:15" hidden="1" x14ac:dyDescent="0.3">
      <c r="E50" s="2"/>
      <c r="F50" s="2"/>
      <c r="G50" s="2"/>
      <c r="K50" s="1" t="str">
        <f>IF(MAESTRO!A10="","",MAESTRO!A10)</f>
        <v>OPERADORA EL PUENTE 2011, C.A. (T. PUENTE REAL)</v>
      </c>
      <c r="L50" s="1"/>
      <c r="M50" s="15">
        <v>10</v>
      </c>
      <c r="N50" s="15"/>
      <c r="O50" s="6" t="s">
        <v>40</v>
      </c>
    </row>
    <row r="51" spans="5:15" hidden="1" x14ac:dyDescent="0.3">
      <c r="E51" s="2"/>
      <c r="F51" s="2"/>
      <c r="G51" s="2"/>
      <c r="K51" s="1" t="str">
        <f>IF(MAESTRO!A11="","",MAESTRO!A11)</f>
        <v>OPERADORA LECHERÍA 2011, C.A. (T. LECHERÍA)</v>
      </c>
      <c r="L51" s="1"/>
      <c r="M51" s="15">
        <v>11</v>
      </c>
      <c r="N51" s="15"/>
      <c r="O51" s="6" t="s">
        <v>41</v>
      </c>
    </row>
    <row r="52" spans="5:15" hidden="1" x14ac:dyDescent="0.3">
      <c r="E52" s="2"/>
      <c r="F52" s="2"/>
      <c r="G52" s="2"/>
      <c r="K52" s="1" t="str">
        <f>IF(MAESTRO!A12="","",MAESTRO!A12)</f>
        <v>OPERADORA PUERTO LA CRUZ 2011, C.A. (T. PUERTO LA CRUZ)</v>
      </c>
      <c r="L52" s="1"/>
      <c r="M52" s="15">
        <v>12</v>
      </c>
      <c r="N52" s="15"/>
      <c r="O52" s="6"/>
    </row>
    <row r="53" spans="5:15" hidden="1" x14ac:dyDescent="0.3">
      <c r="E53" s="2"/>
      <c r="F53" s="2"/>
      <c r="G53" s="2"/>
      <c r="K53" s="1" t="str">
        <f>IF(MAESTRO!A13="","",MAESTRO!A13)</f>
        <v>OPERADORA PUERTO ORDAZ 2013, C.A.(T. PUERTO ORDAZ)</v>
      </c>
      <c r="L53" s="1"/>
      <c r="M53" s="15">
        <v>13</v>
      </c>
      <c r="N53" s="15"/>
      <c r="O53" s="6"/>
    </row>
    <row r="54" spans="5:15" hidden="1" x14ac:dyDescent="0.3">
      <c r="E54" s="2"/>
      <c r="F54" s="2"/>
      <c r="G54" s="2"/>
      <c r="K54" s="1" t="str">
        <f>IF(MAESTRO!A14="","",MAESTRO!A14)</f>
        <v>OPERADORA LAS AMERICAS, C.A</v>
      </c>
      <c r="L54" s="1"/>
      <c r="M54" s="15">
        <v>14</v>
      </c>
      <c r="N54" s="15"/>
      <c r="O54" s="6"/>
    </row>
    <row r="55" spans="5:15" hidden="1" x14ac:dyDescent="0.3">
      <c r="E55" s="2"/>
      <c r="F55" s="2"/>
      <c r="G55" s="2"/>
      <c r="K55" s="1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1" t="str">
        <f>IF(MAESTRO!A16="","",MAESTRO!A16)</f>
        <v>RELIVE, C.A. (T. CHUPARÍN)</v>
      </c>
    </row>
    <row r="57" spans="5:15" hidden="1" x14ac:dyDescent="0.3">
      <c r="K57" s="1" t="str">
        <f>IF(MAESTRO!A17="","",MAESTRO!A17)</f>
        <v>RELIVE, C.A. (T. TERRAZAS)</v>
      </c>
    </row>
    <row r="58" spans="5:15" hidden="1" x14ac:dyDescent="0.3">
      <c r="K58" s="1" t="str">
        <f>IF(MAESTRO!A18="","",MAESTRO!A18)</f>
        <v>RELIVE, C.A. (T. TIGRE II)</v>
      </c>
    </row>
    <row r="59" spans="5:15" x14ac:dyDescent="0.3">
      <c r="K59" s="1" t="str">
        <f>IF(MAESTRO!A19="","",MAESTRO!A19)</f>
        <v>RELIVE, C.A. (T. TIGRE III)</v>
      </c>
    </row>
    <row r="60" spans="5:15" x14ac:dyDescent="0.3">
      <c r="K60" s="1" t="str">
        <f>IF(MAESTRO!A20="","",MAESTRO!A20)</f>
        <v/>
      </c>
    </row>
    <row r="61" spans="5:15" x14ac:dyDescent="0.3">
      <c r="K61" s="1" t="str">
        <f>IF(MAESTRO!A21="","",MAESTRO!A21)</f>
        <v/>
      </c>
    </row>
  </sheetData>
  <sheetProtection algorithmName="SHA-512" hashValue="pjg0qCrDFZ3kE7KhCHxSPv8sAvAxdPvp1mJZ4T8dFEBoGYKhGL0Dpknb3eMbBf4GCyEowEabfb6B10ivCcyzAQ==" saltValue="bwYBRnDcNknV+tCHA1nsGg==" spinCount="100000" sheet="1" selectLockedCells="1"/>
  <dataConsolidate/>
  <mergeCells count="49">
    <mergeCell ref="A30:F30"/>
    <mergeCell ref="G30:K30"/>
    <mergeCell ref="B29:C29"/>
    <mergeCell ref="H29:K29"/>
    <mergeCell ref="A35:K36"/>
    <mergeCell ref="A32:B32"/>
    <mergeCell ref="C32:D32"/>
    <mergeCell ref="A33:B33"/>
    <mergeCell ref="C33:D33"/>
    <mergeCell ref="H25:K25"/>
    <mergeCell ref="B25:C25"/>
    <mergeCell ref="B27:C27"/>
    <mergeCell ref="H27:K27"/>
    <mergeCell ref="B28:C28"/>
    <mergeCell ref="H28:K28"/>
    <mergeCell ref="B26:C26"/>
    <mergeCell ref="H26:K26"/>
    <mergeCell ref="A15:A22"/>
    <mergeCell ref="B15:C22"/>
    <mergeCell ref="D15:D22"/>
    <mergeCell ref="E15:E22"/>
    <mergeCell ref="F15:F22"/>
    <mergeCell ref="A1:B3"/>
    <mergeCell ref="C5:G5"/>
    <mergeCell ref="I5:J5"/>
    <mergeCell ref="B8:C8"/>
    <mergeCell ref="B9:C9"/>
    <mergeCell ref="A7:K7"/>
    <mergeCell ref="H8:K8"/>
    <mergeCell ref="H9:K9"/>
    <mergeCell ref="J1:K1"/>
    <mergeCell ref="J3:K3"/>
    <mergeCell ref="C1:H3"/>
    <mergeCell ref="B24:C24"/>
    <mergeCell ref="B23:C23"/>
    <mergeCell ref="H23:K23"/>
    <mergeCell ref="H24:K24"/>
    <mergeCell ref="B10:C10"/>
    <mergeCell ref="H10:K10"/>
    <mergeCell ref="H11:K11"/>
    <mergeCell ref="H12:K12"/>
    <mergeCell ref="H13:K13"/>
    <mergeCell ref="H14:K14"/>
    <mergeCell ref="B12:C12"/>
    <mergeCell ref="B13:C13"/>
    <mergeCell ref="B11:C11"/>
    <mergeCell ref="B14:C14"/>
    <mergeCell ref="G15:G22"/>
    <mergeCell ref="H22:K22"/>
  </mergeCells>
  <dataValidations count="5">
    <dataValidation type="list" allowBlank="1" showInputMessage="1" showErrorMessage="1" sqref="D10:D14 D23:D25 D27:D29" xr:uid="{00000000-0002-0000-0300-000000000000}">
      <formula1>$M$33:$M$49</formula1>
    </dataValidation>
    <dataValidation type="list" allowBlank="1" showInputMessage="1" showErrorMessage="1" sqref="D9" xr:uid="{00000000-0002-0000-0300-000001000000}">
      <formula1>$M$33:$M$48</formula1>
    </dataValidation>
    <dataValidation type="list" allowBlank="1" showInputMessage="1" showErrorMessage="1" sqref="D15 E9:F15 E23:F25 E27:F29" xr:uid="{00000000-0002-0000-0300-000002000000}">
      <formula1>$M$41:$M$55</formula1>
    </dataValidation>
    <dataValidation type="list" allowBlank="1" showInputMessage="1" showErrorMessage="1" sqref="C5:G5" xr:uid="{00000000-0002-0000-0300-000003000000}">
      <formula1>$O$14:$O$18</formula1>
    </dataValidation>
    <dataValidation type="list" allowBlank="1" showInputMessage="1" showErrorMessage="1" sqref="D26:F26" xr:uid="{00000000-0002-0000-0300-000004000000}">
      <formula1>$M$34:$M$50</formula1>
    </dataValidation>
  </dataValidations>
  <pageMargins left="0.39370078740157483" right="0.39370078740157483" top="0.59055118110236227" bottom="0.59055118110236227" header="0.31496062992125984" footer="0.31496062992125984"/>
  <pageSetup scale="68" orientation="portrait" r:id="rId1"/>
  <headerFooter>
    <oddFooter>&amp;RPág. &amp;P -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P61"/>
  <sheetViews>
    <sheetView view="pageBreakPreview" topLeftCell="A16" zoomScaleNormal="100" zoomScaleSheetLayoutView="10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13.109375" style="2" customWidth="1" collapsed="1"/>
    <col min="3" max="3" width="22.4414062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2.109375" style="2" customWidth="1" collapsed="1"/>
    <col min="12" max="12" width="14.44140625" style="2" customWidth="1" collapsed="1"/>
    <col min="13" max="14" width="11.44140625" style="6" customWidth="1" collapsed="1"/>
    <col min="15" max="16" width="11.44140625" style="2" customWidth="1" collapsed="1"/>
    <col min="17" max="16384" width="11.44140625" style="2" collapsed="1"/>
  </cols>
  <sheetData>
    <row r="1" spans="1:15" ht="15" customHeight="1" x14ac:dyDescent="0.3">
      <c r="A1" s="97"/>
      <c r="B1" s="97"/>
      <c r="C1" s="107" t="s">
        <v>11</v>
      </c>
      <c r="D1" s="108"/>
      <c r="E1" s="108"/>
      <c r="F1" s="108"/>
      <c r="G1" s="108"/>
      <c r="H1" s="109"/>
      <c r="I1" s="30" t="s">
        <v>20</v>
      </c>
      <c r="J1" s="164" t="s">
        <v>43</v>
      </c>
      <c r="K1" s="165"/>
    </row>
    <row r="2" spans="1:15" ht="20.25" customHeight="1" x14ac:dyDescent="0.3">
      <c r="A2" s="97"/>
      <c r="B2" s="97"/>
      <c r="C2" s="107"/>
      <c r="D2" s="108"/>
      <c r="E2" s="108"/>
      <c r="F2" s="108"/>
      <c r="G2" s="108"/>
      <c r="H2" s="109"/>
      <c r="I2" s="30" t="s">
        <v>21</v>
      </c>
      <c r="J2" s="31" t="s">
        <v>77</v>
      </c>
      <c r="K2" s="53">
        <v>42720</v>
      </c>
    </row>
    <row r="3" spans="1:15" x14ac:dyDescent="0.3">
      <c r="A3" s="97"/>
      <c r="B3" s="97"/>
      <c r="C3" s="107"/>
      <c r="D3" s="108"/>
      <c r="E3" s="108"/>
      <c r="F3" s="108"/>
      <c r="G3" s="108"/>
      <c r="H3" s="109"/>
      <c r="I3" s="30" t="s">
        <v>22</v>
      </c>
      <c r="J3" s="102">
        <v>42286</v>
      </c>
      <c r="K3" s="103"/>
    </row>
    <row r="4" spans="1:15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15" ht="15.75" customHeight="1" x14ac:dyDescent="0.3">
      <c r="A5" s="3"/>
      <c r="B5" s="13" t="s">
        <v>27</v>
      </c>
      <c r="C5" s="98" t="s">
        <v>80</v>
      </c>
      <c r="D5" s="98"/>
      <c r="E5" s="98"/>
      <c r="F5" s="98"/>
      <c r="G5" s="98"/>
      <c r="H5" s="13" t="s">
        <v>0</v>
      </c>
      <c r="I5" s="99">
        <v>46157</v>
      </c>
      <c r="J5" s="99"/>
    </row>
    <row r="6" spans="1:15" ht="15.75" customHeight="1" x14ac:dyDescent="0.3">
      <c r="A6" s="18"/>
      <c r="E6" s="19"/>
      <c r="F6" s="19"/>
      <c r="G6" s="11"/>
    </row>
    <row r="7" spans="1:15" ht="15.6" x14ac:dyDescent="0.3">
      <c r="A7" s="89" t="s">
        <v>9</v>
      </c>
      <c r="B7" s="89"/>
      <c r="C7" s="89"/>
      <c r="D7" s="89"/>
      <c r="E7" s="89"/>
      <c r="F7" s="89"/>
      <c r="G7" s="89"/>
      <c r="H7" s="89"/>
      <c r="I7" s="89"/>
      <c r="J7" s="89"/>
      <c r="K7" s="89"/>
    </row>
    <row r="8" spans="1:15" ht="28.8" x14ac:dyDescent="0.3">
      <c r="A8" s="48" t="s">
        <v>1</v>
      </c>
      <c r="B8" s="91" t="s">
        <v>9</v>
      </c>
      <c r="C8" s="92"/>
      <c r="D8" s="20" t="s">
        <v>46</v>
      </c>
      <c r="E8" s="9" t="s">
        <v>44</v>
      </c>
      <c r="F8" s="9" t="s">
        <v>45</v>
      </c>
      <c r="G8" s="14" t="s">
        <v>18</v>
      </c>
      <c r="H8" s="90" t="s">
        <v>28</v>
      </c>
      <c r="I8" s="90"/>
      <c r="J8" s="90"/>
      <c r="K8" s="90"/>
      <c r="M8" s="2"/>
      <c r="N8" s="2"/>
    </row>
    <row r="9" spans="1:15" ht="18" customHeight="1" x14ac:dyDescent="0.3">
      <c r="A9" s="29">
        <v>1</v>
      </c>
      <c r="B9" s="93" t="s">
        <v>24</v>
      </c>
      <c r="C9" s="94"/>
      <c r="D9" s="28">
        <v>4</v>
      </c>
      <c r="E9" s="7">
        <v>4</v>
      </c>
      <c r="F9" s="7">
        <v>4</v>
      </c>
      <c r="G9" s="22">
        <f>IF(D9="","",IF(D9=0,"-",IF(F9&gt;D9,"ERROR",IF(E9&gt;D9,"ERROR",IF(E9&lt;D9,0,IF(E9&gt;F9,0,IF(F9=D9,1,0)))))))</f>
        <v>1</v>
      </c>
      <c r="H9" s="88" t="s">
        <v>106</v>
      </c>
      <c r="I9" s="88"/>
      <c r="J9" s="88"/>
      <c r="K9" s="88"/>
    </row>
    <row r="10" spans="1:15" ht="18" customHeight="1" x14ac:dyDescent="0.3">
      <c r="A10" s="29">
        <v>2</v>
      </c>
      <c r="B10" s="93" t="s">
        <v>23</v>
      </c>
      <c r="C10" s="94"/>
      <c r="D10" s="28">
        <v>4</v>
      </c>
      <c r="E10" s="7">
        <v>4</v>
      </c>
      <c r="F10" s="7">
        <v>4</v>
      </c>
      <c r="G10" s="22">
        <f t="shared" ref="G10:G29" si="0">IF(D10="","",IF(D10=0,"-",IF(F10&gt;D10,"ERROR",IF(E10&gt;D10,"ERROR",IF(E10&lt;D10,0,IF(E10&gt;F10,0,IF(F10=D10,1,0)))))))</f>
        <v>1</v>
      </c>
      <c r="H10" s="88"/>
      <c r="I10" s="88"/>
      <c r="J10" s="88"/>
      <c r="K10" s="88"/>
    </row>
    <row r="11" spans="1:15" ht="18" customHeight="1" x14ac:dyDescent="0.3">
      <c r="A11" s="29">
        <v>3</v>
      </c>
      <c r="B11" s="93" t="s">
        <v>26</v>
      </c>
      <c r="C11" s="94"/>
      <c r="D11" s="28">
        <v>4</v>
      </c>
      <c r="E11" s="7">
        <v>4</v>
      </c>
      <c r="F11" s="7">
        <v>4</v>
      </c>
      <c r="G11" s="22">
        <f t="shared" si="0"/>
        <v>1</v>
      </c>
      <c r="H11" s="88"/>
      <c r="I11" s="88"/>
      <c r="J11" s="88"/>
      <c r="K11" s="88"/>
    </row>
    <row r="12" spans="1:15" ht="18" customHeight="1" x14ac:dyDescent="0.3">
      <c r="A12" s="29">
        <v>4</v>
      </c>
      <c r="B12" s="93" t="s">
        <v>25</v>
      </c>
      <c r="C12" s="94"/>
      <c r="D12" s="28">
        <v>4</v>
      </c>
      <c r="E12" s="7">
        <v>4</v>
      </c>
      <c r="F12" s="7">
        <v>4</v>
      </c>
      <c r="G12" s="22">
        <f t="shared" si="0"/>
        <v>1</v>
      </c>
      <c r="H12" s="88"/>
      <c r="I12" s="88"/>
      <c r="J12" s="88"/>
      <c r="K12" s="88"/>
    </row>
    <row r="13" spans="1:15" ht="18" customHeight="1" x14ac:dyDescent="0.3">
      <c r="A13" s="29">
        <v>5</v>
      </c>
      <c r="B13" s="93" t="s">
        <v>17</v>
      </c>
      <c r="C13" s="94"/>
      <c r="D13" s="28">
        <v>4</v>
      </c>
      <c r="E13" s="7">
        <v>4</v>
      </c>
      <c r="F13" s="7">
        <v>4</v>
      </c>
      <c r="G13" s="22">
        <f t="shared" si="0"/>
        <v>1</v>
      </c>
      <c r="H13" s="88"/>
      <c r="I13" s="88"/>
      <c r="J13" s="88"/>
      <c r="K13" s="88"/>
    </row>
    <row r="14" spans="1:15" ht="18" customHeight="1" x14ac:dyDescent="0.3">
      <c r="A14" s="29">
        <v>6</v>
      </c>
      <c r="B14" s="95" t="s">
        <v>49</v>
      </c>
      <c r="C14" s="96"/>
      <c r="D14" s="28">
        <v>1</v>
      </c>
      <c r="E14" s="7">
        <v>1</v>
      </c>
      <c r="F14" s="7">
        <v>1</v>
      </c>
      <c r="G14" s="22">
        <f t="shared" si="0"/>
        <v>1</v>
      </c>
      <c r="H14" s="88"/>
      <c r="I14" s="88"/>
      <c r="J14" s="88"/>
      <c r="K14" s="88"/>
      <c r="O14" s="54" t="s">
        <v>74</v>
      </c>
    </row>
    <row r="15" spans="1:15" ht="18" customHeight="1" x14ac:dyDescent="0.3">
      <c r="A15" s="145">
        <v>7</v>
      </c>
      <c r="B15" s="119" t="s">
        <v>19</v>
      </c>
      <c r="C15" s="120"/>
      <c r="D15" s="125">
        <v>3</v>
      </c>
      <c r="E15" s="128">
        <v>3</v>
      </c>
      <c r="F15" s="128">
        <v>3</v>
      </c>
      <c r="G15" s="113">
        <f>IF(D15="","",IF(D15=0,"-",IF(F15&gt;D15,"ERROR",IF(E15&gt;D15,"ERROR",IF(E15&lt;D15,0,IF(E15&gt;F15,0,IF(F15=D15,1,0)))))))</f>
        <v>1</v>
      </c>
      <c r="H15" s="52" t="s">
        <v>57</v>
      </c>
      <c r="I15" s="46"/>
      <c r="J15" s="52" t="s">
        <v>56</v>
      </c>
      <c r="K15" s="46"/>
      <c r="O15" s="54" t="s">
        <v>76</v>
      </c>
    </row>
    <row r="16" spans="1:15" ht="18" customHeight="1" x14ac:dyDescent="0.3">
      <c r="A16" s="146"/>
      <c r="B16" s="121"/>
      <c r="C16" s="122"/>
      <c r="D16" s="126"/>
      <c r="E16" s="129"/>
      <c r="F16" s="129"/>
      <c r="G16" s="114"/>
      <c r="H16" s="52" t="s">
        <v>58</v>
      </c>
      <c r="I16" s="46"/>
      <c r="J16" s="52" t="s">
        <v>56</v>
      </c>
      <c r="K16" s="46"/>
      <c r="M16" s="2"/>
      <c r="N16" s="2"/>
      <c r="O16" s="54" t="s">
        <v>78</v>
      </c>
    </row>
    <row r="17" spans="1:15" ht="18" customHeight="1" x14ac:dyDescent="0.3">
      <c r="A17" s="146"/>
      <c r="B17" s="121"/>
      <c r="C17" s="122"/>
      <c r="D17" s="126"/>
      <c r="E17" s="129"/>
      <c r="F17" s="129"/>
      <c r="G17" s="114"/>
      <c r="H17" s="52" t="s">
        <v>59</v>
      </c>
      <c r="I17" s="46"/>
      <c r="J17" s="52" t="s">
        <v>56</v>
      </c>
      <c r="K17" s="46"/>
      <c r="M17" s="2"/>
      <c r="N17" s="2"/>
      <c r="O17" s="54" t="s">
        <v>79</v>
      </c>
    </row>
    <row r="18" spans="1:15" ht="18" customHeight="1" x14ac:dyDescent="0.3">
      <c r="A18" s="146"/>
      <c r="B18" s="121"/>
      <c r="C18" s="122"/>
      <c r="D18" s="126"/>
      <c r="E18" s="129"/>
      <c r="F18" s="129"/>
      <c r="G18" s="114"/>
      <c r="H18" s="52" t="s">
        <v>60</v>
      </c>
      <c r="I18" s="46"/>
      <c r="J18" s="52" t="s">
        <v>56</v>
      </c>
      <c r="K18" s="46"/>
      <c r="M18" s="2"/>
      <c r="N18" s="2"/>
      <c r="O18" s="54" t="s">
        <v>80</v>
      </c>
    </row>
    <row r="19" spans="1:15" ht="18" customHeight="1" x14ac:dyDescent="0.3">
      <c r="A19" s="146"/>
      <c r="B19" s="121"/>
      <c r="C19" s="122"/>
      <c r="D19" s="126"/>
      <c r="E19" s="129"/>
      <c r="F19" s="129"/>
      <c r="G19" s="114"/>
      <c r="H19" s="52" t="s">
        <v>61</v>
      </c>
      <c r="I19" s="46"/>
      <c r="J19" s="52" t="s">
        <v>56</v>
      </c>
      <c r="K19" s="46"/>
      <c r="M19" s="2"/>
      <c r="N19" s="2"/>
    </row>
    <row r="20" spans="1:15" ht="18" customHeight="1" x14ac:dyDescent="0.3">
      <c r="A20" s="146"/>
      <c r="B20" s="121"/>
      <c r="C20" s="122"/>
      <c r="D20" s="126"/>
      <c r="E20" s="129"/>
      <c r="F20" s="129"/>
      <c r="G20" s="114"/>
      <c r="H20" s="52" t="s">
        <v>62</v>
      </c>
      <c r="I20" s="45"/>
      <c r="J20" s="52" t="s">
        <v>56</v>
      </c>
      <c r="K20" s="46"/>
      <c r="M20" s="2"/>
      <c r="N20" s="2"/>
    </row>
    <row r="21" spans="1:15" ht="18.75" customHeight="1" x14ac:dyDescent="0.3">
      <c r="A21" s="146"/>
      <c r="B21" s="121"/>
      <c r="C21" s="122"/>
      <c r="D21" s="126"/>
      <c r="E21" s="129"/>
      <c r="F21" s="129"/>
      <c r="G21" s="114"/>
      <c r="H21" s="52" t="s">
        <v>63</v>
      </c>
      <c r="I21" s="45"/>
      <c r="J21" s="52" t="s">
        <v>56</v>
      </c>
      <c r="K21" s="46"/>
      <c r="L21" s="4"/>
      <c r="M21" s="2"/>
      <c r="N21" s="2"/>
    </row>
    <row r="22" spans="1:15" ht="18.75" customHeight="1" x14ac:dyDescent="0.3">
      <c r="A22" s="147"/>
      <c r="B22" s="123"/>
      <c r="C22" s="124"/>
      <c r="D22" s="127"/>
      <c r="E22" s="130"/>
      <c r="F22" s="130"/>
      <c r="G22" s="115"/>
      <c r="H22" s="116"/>
      <c r="I22" s="117"/>
      <c r="J22" s="117"/>
      <c r="K22" s="118"/>
      <c r="L22" s="4"/>
      <c r="M22" s="2"/>
      <c r="N22" s="2"/>
    </row>
    <row r="23" spans="1:15" ht="18" customHeight="1" x14ac:dyDescent="0.3">
      <c r="A23" s="29">
        <v>8</v>
      </c>
      <c r="B23" s="95" t="s">
        <v>16</v>
      </c>
      <c r="C23" s="96"/>
      <c r="D23" s="28">
        <v>1</v>
      </c>
      <c r="E23" s="7">
        <v>1</v>
      </c>
      <c r="F23" s="7">
        <v>1</v>
      </c>
      <c r="G23" s="22">
        <f t="shared" si="0"/>
        <v>1</v>
      </c>
      <c r="H23" s="88"/>
      <c r="I23" s="88"/>
      <c r="J23" s="88"/>
      <c r="K23" s="88"/>
      <c r="M23" s="2"/>
      <c r="N23" s="2"/>
    </row>
    <row r="24" spans="1:15" ht="18" customHeight="1" x14ac:dyDescent="0.3">
      <c r="A24" s="29">
        <v>9</v>
      </c>
      <c r="B24" s="95" t="s">
        <v>15</v>
      </c>
      <c r="C24" s="96"/>
      <c r="D24" s="28">
        <v>1</v>
      </c>
      <c r="E24" s="7">
        <v>1</v>
      </c>
      <c r="F24" s="7">
        <v>1</v>
      </c>
      <c r="G24" s="22">
        <f t="shared" si="0"/>
        <v>1</v>
      </c>
      <c r="H24" s="88"/>
      <c r="I24" s="88"/>
      <c r="J24" s="88"/>
      <c r="K24" s="88"/>
      <c r="M24" s="2"/>
      <c r="N24" s="2"/>
    </row>
    <row r="25" spans="1:15" ht="18" customHeight="1" x14ac:dyDescent="0.3">
      <c r="A25" s="29">
        <v>10</v>
      </c>
      <c r="B25" s="93" t="s">
        <v>8</v>
      </c>
      <c r="C25" s="94"/>
      <c r="D25" s="28">
        <v>4</v>
      </c>
      <c r="E25" s="7">
        <v>4</v>
      </c>
      <c r="F25" s="7">
        <v>4</v>
      </c>
      <c r="G25" s="22">
        <f t="shared" si="0"/>
        <v>1</v>
      </c>
      <c r="H25" s="88"/>
      <c r="I25" s="88"/>
      <c r="J25" s="88"/>
      <c r="K25" s="88"/>
      <c r="M25" s="2"/>
      <c r="N25" s="2"/>
    </row>
    <row r="26" spans="1:15" ht="18" customHeight="1" x14ac:dyDescent="0.3">
      <c r="A26" s="29">
        <v>11</v>
      </c>
      <c r="B26" s="154" t="s">
        <v>96</v>
      </c>
      <c r="C26" s="155"/>
      <c r="D26" s="28">
        <v>1</v>
      </c>
      <c r="E26" s="28">
        <v>1</v>
      </c>
      <c r="F26" s="28">
        <v>1</v>
      </c>
      <c r="G26" s="22">
        <f t="shared" si="0"/>
        <v>1</v>
      </c>
      <c r="H26" s="88"/>
      <c r="I26" s="88"/>
      <c r="J26" s="88"/>
      <c r="K26" s="88"/>
      <c r="M26" s="2"/>
      <c r="N26" s="2"/>
    </row>
    <row r="27" spans="1:15" ht="18" customHeight="1" x14ac:dyDescent="0.3">
      <c r="A27" s="29">
        <v>12</v>
      </c>
      <c r="B27" s="137" t="s">
        <v>54</v>
      </c>
      <c r="C27" s="138"/>
      <c r="D27" s="28">
        <v>1</v>
      </c>
      <c r="E27" s="7">
        <v>1</v>
      </c>
      <c r="F27" s="7">
        <v>1</v>
      </c>
      <c r="G27" s="22">
        <f t="shared" si="0"/>
        <v>1</v>
      </c>
      <c r="H27" s="88"/>
      <c r="I27" s="88"/>
      <c r="J27" s="88"/>
      <c r="K27" s="88"/>
    </row>
    <row r="28" spans="1:15" ht="18" customHeight="1" x14ac:dyDescent="0.3">
      <c r="A28" s="29">
        <v>13</v>
      </c>
      <c r="B28" s="139" t="s">
        <v>50</v>
      </c>
      <c r="C28" s="140"/>
      <c r="D28" s="47">
        <v>1</v>
      </c>
      <c r="E28" s="7">
        <v>1</v>
      </c>
      <c r="F28" s="7">
        <v>1</v>
      </c>
      <c r="G28" s="49">
        <f t="shared" si="0"/>
        <v>1</v>
      </c>
      <c r="H28" s="141"/>
      <c r="I28" s="141"/>
      <c r="J28" s="141"/>
      <c r="K28" s="141"/>
    </row>
    <row r="29" spans="1:15" ht="18" customHeight="1" thickBot="1" x14ac:dyDescent="0.35">
      <c r="A29" s="29">
        <v>14</v>
      </c>
      <c r="B29" s="134" t="s">
        <v>64</v>
      </c>
      <c r="C29" s="135"/>
      <c r="D29" s="28">
        <v>3</v>
      </c>
      <c r="E29" s="7">
        <v>3</v>
      </c>
      <c r="F29" s="7">
        <v>3</v>
      </c>
      <c r="G29" s="22">
        <f t="shared" si="0"/>
        <v>1</v>
      </c>
      <c r="H29" s="88"/>
      <c r="I29" s="88"/>
      <c r="J29" s="88"/>
      <c r="K29" s="88"/>
    </row>
    <row r="30" spans="1:15" ht="19.5" customHeight="1" thickBot="1" x14ac:dyDescent="0.35">
      <c r="A30" s="157" t="s">
        <v>51</v>
      </c>
      <c r="B30" s="158"/>
      <c r="C30" s="158"/>
      <c r="D30" s="158"/>
      <c r="E30" s="158"/>
      <c r="F30" s="158"/>
      <c r="G30" s="159">
        <f>IFERROR(AVERAGE(G9:G28),"-")</f>
        <v>1</v>
      </c>
      <c r="H30" s="160"/>
      <c r="I30" s="160"/>
      <c r="J30" s="160"/>
      <c r="K30" s="161"/>
    </row>
    <row r="31" spans="1:15" ht="17.25" customHeight="1" x14ac:dyDescent="0.3">
      <c r="A31" s="34"/>
      <c r="E31" s="17"/>
      <c r="F31" s="35"/>
      <c r="G31" s="36"/>
      <c r="H31" s="25"/>
      <c r="I31" s="37"/>
      <c r="J31" s="23"/>
    </row>
    <row r="32" spans="1:15" ht="28.5" customHeight="1" x14ac:dyDescent="0.3">
      <c r="A32" s="148" t="s">
        <v>53</v>
      </c>
      <c r="B32" s="148"/>
      <c r="C32" s="149" t="s">
        <v>83</v>
      </c>
      <c r="D32" s="149"/>
      <c r="E32" s="38"/>
      <c r="F32" s="38"/>
      <c r="G32" s="24"/>
      <c r="H32" s="25"/>
      <c r="I32" s="26"/>
      <c r="J32" s="25"/>
    </row>
    <row r="33" spans="1:16" x14ac:dyDescent="0.3">
      <c r="A33" s="148" t="s">
        <v>55</v>
      </c>
      <c r="B33" s="148"/>
      <c r="C33" s="150" t="s">
        <v>81</v>
      </c>
      <c r="D33" s="151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36" t="s">
        <v>52</v>
      </c>
      <c r="B35" s="136"/>
      <c r="C35" s="136"/>
      <c r="D35" s="136"/>
      <c r="E35" s="136"/>
      <c r="F35" s="136"/>
      <c r="G35" s="136"/>
      <c r="H35" s="136"/>
      <c r="I35" s="136"/>
      <c r="J35" s="136"/>
      <c r="K35" s="136"/>
    </row>
    <row r="36" spans="1:16" x14ac:dyDescent="0.3">
      <c r="A36" s="136"/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M36" s="2"/>
      <c r="N36" s="2"/>
    </row>
    <row r="37" spans="1:16" x14ac:dyDescent="0.3">
      <c r="M37" s="2"/>
      <c r="N37" s="2"/>
    </row>
    <row r="38" spans="1:16" x14ac:dyDescent="0.3">
      <c r="M38" s="2"/>
      <c r="N38" s="2"/>
    </row>
    <row r="39" spans="1:16" ht="28.8" hidden="1" x14ac:dyDescent="0.3">
      <c r="L39" s="5" t="s">
        <v>12</v>
      </c>
      <c r="M39" s="21" t="s">
        <v>48</v>
      </c>
      <c r="N39" s="21" t="s">
        <v>47</v>
      </c>
      <c r="O39" s="42" t="s">
        <v>29</v>
      </c>
    </row>
    <row r="40" spans="1:16" ht="15.6" hidden="1" x14ac:dyDescent="0.3">
      <c r="K40" s="5" t="s">
        <v>10</v>
      </c>
      <c r="L40" s="8" t="s">
        <v>13</v>
      </c>
      <c r="M40" s="6">
        <v>0</v>
      </c>
      <c r="N40" s="44" t="s">
        <v>13</v>
      </c>
      <c r="O40" s="6" t="s">
        <v>30</v>
      </c>
      <c r="P40" s="10"/>
    </row>
    <row r="41" spans="1:16" hidden="1" x14ac:dyDescent="0.3">
      <c r="K41" s="1" t="str">
        <f>IF(MAESTRO!A1="","",MAESTRO!A1)</f>
        <v>******SUCURSALES</v>
      </c>
      <c r="L41" s="43" t="s">
        <v>14</v>
      </c>
      <c r="M41" s="15">
        <v>1</v>
      </c>
      <c r="N41" s="43" t="s">
        <v>14</v>
      </c>
      <c r="O41" s="6" t="s">
        <v>31</v>
      </c>
    </row>
    <row r="42" spans="1:16" hidden="1" x14ac:dyDescent="0.3">
      <c r="K42" s="1" t="str">
        <f>IF(MAESTRO!A2="","",MAESTRO!A2)</f>
        <v>LA CASA DE LA CAÑA, C.A. (T. ALTERNA)</v>
      </c>
      <c r="M42" s="16">
        <v>2</v>
      </c>
      <c r="N42" s="16"/>
      <c r="O42" s="6" t="s">
        <v>32</v>
      </c>
    </row>
    <row r="43" spans="1:16" hidden="1" x14ac:dyDescent="0.3">
      <c r="K43" s="1" t="str">
        <f>IF(MAESTRO!A3="","",MAESTRO!A3)</f>
        <v>LA CASA DE LA CAÑA, C.A. (T. ANACO)</v>
      </c>
      <c r="M43" s="16">
        <v>3</v>
      </c>
      <c r="N43" s="16"/>
      <c r="O43" s="6" t="s">
        <v>33</v>
      </c>
    </row>
    <row r="44" spans="1:16" hidden="1" x14ac:dyDescent="0.3">
      <c r="K44" s="1" t="str">
        <f>IF(MAESTRO!A4="","",MAESTRO!A4)</f>
        <v>LA CASA DE LA CAÑA, C.A. (T. CUMANÁ)</v>
      </c>
      <c r="L44" s="1"/>
      <c r="M44" s="16">
        <v>4</v>
      </c>
      <c r="N44" s="15"/>
      <c r="O44" s="6" t="s">
        <v>34</v>
      </c>
    </row>
    <row r="45" spans="1:16" hidden="1" x14ac:dyDescent="0.3">
      <c r="K45" s="1" t="str">
        <f>IF(MAESTRO!A5="","",MAESTRO!A5)</f>
        <v>LA CASA DE LA CAÑA, C.A. (T. MATURÍN I)</v>
      </c>
      <c r="L45" s="1"/>
      <c r="M45" s="15">
        <v>5</v>
      </c>
      <c r="N45" s="15"/>
      <c r="O45" s="6" t="s">
        <v>35</v>
      </c>
    </row>
    <row r="46" spans="1:16" hidden="1" x14ac:dyDescent="0.3">
      <c r="K46" s="1" t="str">
        <f>IF(MAESTRO!A6="","",MAESTRO!A6)</f>
        <v>LA CASA DE LA CAÑA, C.A. (T. MATURÍN II)</v>
      </c>
      <c r="L46" s="1"/>
      <c r="M46" s="15">
        <v>6</v>
      </c>
      <c r="N46" s="15"/>
      <c r="O46" s="6" t="s">
        <v>36</v>
      </c>
    </row>
    <row r="47" spans="1:16" hidden="1" x14ac:dyDescent="0.3">
      <c r="K47" s="1" t="str">
        <f>IF(MAESTRO!A7="","",MAESTRO!A7)</f>
        <v>LA CASA DE LA CAÑA, C.A. (T. NVA. BARCELONA)</v>
      </c>
      <c r="L47" s="1"/>
      <c r="M47" s="15">
        <v>7</v>
      </c>
      <c r="N47" s="15"/>
      <c r="O47" s="6" t="s">
        <v>37</v>
      </c>
    </row>
    <row r="48" spans="1:16" hidden="1" x14ac:dyDescent="0.3">
      <c r="K48" s="1" t="str">
        <f>IF(MAESTRO!A8="","",MAESTRO!A8)</f>
        <v>INVERSIONES CAÑANDONGA,C.A (T. CONEJERO)</v>
      </c>
      <c r="L48" s="1"/>
      <c r="M48" s="15">
        <v>8</v>
      </c>
      <c r="N48" s="15"/>
      <c r="O48" s="6" t="s">
        <v>38</v>
      </c>
    </row>
    <row r="49" spans="5:15" hidden="1" x14ac:dyDescent="0.3">
      <c r="E49" s="2"/>
      <c r="F49" s="2"/>
      <c r="G49" s="2"/>
      <c r="K49" s="1" t="str">
        <f>IF(MAESTRO!A9="","",MAESTRO!A9)</f>
        <v>OPERADORA EL MERCADO 2011, C.A. (T. MERCADO)</v>
      </c>
      <c r="L49" s="1"/>
      <c r="M49" s="15">
        <v>9</v>
      </c>
      <c r="N49" s="15"/>
      <c r="O49" s="6" t="s">
        <v>39</v>
      </c>
    </row>
    <row r="50" spans="5:15" hidden="1" x14ac:dyDescent="0.3">
      <c r="E50" s="2"/>
      <c r="F50" s="2"/>
      <c r="G50" s="2"/>
      <c r="K50" s="1" t="str">
        <f>IF(MAESTRO!A10="","",MAESTRO!A10)</f>
        <v>OPERADORA EL PUENTE 2011, C.A. (T. PUENTE REAL)</v>
      </c>
      <c r="L50" s="1"/>
      <c r="M50" s="15">
        <v>10</v>
      </c>
      <c r="N50" s="15"/>
      <c r="O50" s="6" t="s">
        <v>40</v>
      </c>
    </row>
    <row r="51" spans="5:15" hidden="1" x14ac:dyDescent="0.3">
      <c r="E51" s="2"/>
      <c r="F51" s="2"/>
      <c r="G51" s="2"/>
      <c r="K51" s="1" t="str">
        <f>IF(MAESTRO!A11="","",MAESTRO!A11)</f>
        <v>OPERADORA LECHERÍA 2011, C.A. (T. LECHERÍA)</v>
      </c>
      <c r="L51" s="1"/>
      <c r="M51" s="15">
        <v>11</v>
      </c>
      <c r="N51" s="15"/>
      <c r="O51" s="6" t="s">
        <v>41</v>
      </c>
    </row>
    <row r="52" spans="5:15" hidden="1" x14ac:dyDescent="0.3">
      <c r="E52" s="2"/>
      <c r="F52" s="2"/>
      <c r="G52" s="2"/>
      <c r="K52" s="1" t="str">
        <f>IF(MAESTRO!A12="","",MAESTRO!A12)</f>
        <v>OPERADORA PUERTO LA CRUZ 2011, C.A. (T. PUERTO LA CRUZ)</v>
      </c>
      <c r="L52" s="1"/>
      <c r="M52" s="15">
        <v>12</v>
      </c>
      <c r="N52" s="15"/>
      <c r="O52" s="6"/>
    </row>
    <row r="53" spans="5:15" hidden="1" x14ac:dyDescent="0.3">
      <c r="E53" s="2"/>
      <c r="F53" s="2"/>
      <c r="G53" s="2"/>
      <c r="K53" s="1" t="str">
        <f>IF(MAESTRO!A13="","",MAESTRO!A13)</f>
        <v>OPERADORA PUERTO ORDAZ 2013, C.A.(T. PUERTO ORDAZ)</v>
      </c>
      <c r="L53" s="1"/>
      <c r="M53" s="15">
        <v>13</v>
      </c>
      <c r="N53" s="15"/>
      <c r="O53" s="6"/>
    </row>
    <row r="54" spans="5:15" hidden="1" x14ac:dyDescent="0.3">
      <c r="E54" s="2"/>
      <c r="F54" s="2"/>
      <c r="G54" s="2"/>
      <c r="K54" s="1" t="str">
        <f>IF(MAESTRO!A14="","",MAESTRO!A14)</f>
        <v>OPERADORA LAS AMERICAS, C.A</v>
      </c>
      <c r="L54" s="1"/>
      <c r="M54" s="15">
        <v>14</v>
      </c>
      <c r="N54" s="15"/>
      <c r="O54" s="6"/>
    </row>
    <row r="55" spans="5:15" hidden="1" x14ac:dyDescent="0.3">
      <c r="E55" s="2"/>
      <c r="F55" s="2"/>
      <c r="G55" s="2"/>
      <c r="K55" s="1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1" t="str">
        <f>IF(MAESTRO!A16="","",MAESTRO!A16)</f>
        <v>RELIVE, C.A. (T. CHUPARÍN)</v>
      </c>
    </row>
    <row r="57" spans="5:15" hidden="1" x14ac:dyDescent="0.3">
      <c r="K57" s="1" t="str">
        <f>IF(MAESTRO!A17="","",MAESTRO!A17)</f>
        <v>RELIVE, C.A. (T. TERRAZAS)</v>
      </c>
    </row>
    <row r="58" spans="5:15" hidden="1" x14ac:dyDescent="0.3">
      <c r="K58" s="1" t="str">
        <f>IF(MAESTRO!A18="","",MAESTRO!A18)</f>
        <v>RELIVE, C.A. (T. TIGRE II)</v>
      </c>
    </row>
    <row r="59" spans="5:15" x14ac:dyDescent="0.3">
      <c r="K59" s="1" t="str">
        <f>IF(MAESTRO!A19="","",MAESTRO!A19)</f>
        <v>RELIVE, C.A. (T. TIGRE III)</v>
      </c>
    </row>
    <row r="60" spans="5:15" x14ac:dyDescent="0.3">
      <c r="K60" s="1" t="str">
        <f>IF(MAESTRO!A20="","",MAESTRO!A20)</f>
        <v/>
      </c>
    </row>
    <row r="61" spans="5:15" x14ac:dyDescent="0.3">
      <c r="K61" s="1" t="str">
        <f>IF(MAESTRO!A21="","",MAESTRO!A21)</f>
        <v/>
      </c>
    </row>
  </sheetData>
  <sheetProtection selectLockedCells="1"/>
  <dataConsolidate/>
  <mergeCells count="49">
    <mergeCell ref="A33:B33"/>
    <mergeCell ref="C33:D33"/>
    <mergeCell ref="A35:K36"/>
    <mergeCell ref="A30:F30"/>
    <mergeCell ref="G30:K30"/>
    <mergeCell ref="B29:C29"/>
    <mergeCell ref="H29:K29"/>
    <mergeCell ref="A32:B32"/>
    <mergeCell ref="C32:D32"/>
    <mergeCell ref="H25:K25"/>
    <mergeCell ref="B25:C25"/>
    <mergeCell ref="B27:C27"/>
    <mergeCell ref="H27:K27"/>
    <mergeCell ref="B28:C28"/>
    <mergeCell ref="H28:K28"/>
    <mergeCell ref="B26:C26"/>
    <mergeCell ref="H26:K26"/>
    <mergeCell ref="A15:A22"/>
    <mergeCell ref="B15:C22"/>
    <mergeCell ref="D15:D22"/>
    <mergeCell ref="E15:E22"/>
    <mergeCell ref="F15:F22"/>
    <mergeCell ref="A7:K7"/>
    <mergeCell ref="H8:K8"/>
    <mergeCell ref="H9:K9"/>
    <mergeCell ref="H10:K10"/>
    <mergeCell ref="H11:K11"/>
    <mergeCell ref="B10:C10"/>
    <mergeCell ref="B8:C8"/>
    <mergeCell ref="B9:C9"/>
    <mergeCell ref="B11:C11"/>
    <mergeCell ref="A1:B3"/>
    <mergeCell ref="C5:G5"/>
    <mergeCell ref="I5:J5"/>
    <mergeCell ref="J1:K1"/>
    <mergeCell ref="J3:K3"/>
    <mergeCell ref="C1:H3"/>
    <mergeCell ref="B12:C12"/>
    <mergeCell ref="B13:C13"/>
    <mergeCell ref="B14:C14"/>
    <mergeCell ref="H12:K12"/>
    <mergeCell ref="H13:K13"/>
    <mergeCell ref="H14:K14"/>
    <mergeCell ref="B24:C24"/>
    <mergeCell ref="B23:C23"/>
    <mergeCell ref="H23:K23"/>
    <mergeCell ref="H24:K24"/>
    <mergeCell ref="G15:G22"/>
    <mergeCell ref="H22:K22"/>
  </mergeCells>
  <dataValidations count="5">
    <dataValidation type="list" allowBlank="1" showInputMessage="1" showErrorMessage="1" sqref="D10:D14 D23:D25 D27:D29" xr:uid="{00000000-0002-0000-0400-000000000000}">
      <formula1>$M$33:$M$49</formula1>
    </dataValidation>
    <dataValidation type="list" allowBlank="1" showInputMessage="1" showErrorMessage="1" sqref="D9" xr:uid="{00000000-0002-0000-0400-000001000000}">
      <formula1>$M$33:$M$48</formula1>
    </dataValidation>
    <dataValidation type="list" allowBlank="1" showInputMessage="1" showErrorMessage="1" sqref="D15 E9:F15 E23:F25 E27:F29" xr:uid="{00000000-0002-0000-0400-000002000000}">
      <formula1>$M$41:$M$55</formula1>
    </dataValidation>
    <dataValidation type="list" allowBlank="1" showInputMessage="1" showErrorMessage="1" sqref="C5:G5" xr:uid="{00000000-0002-0000-0400-000003000000}">
      <formula1>$O$14:$O$18</formula1>
    </dataValidation>
    <dataValidation type="list" allowBlank="1" showInputMessage="1" showErrorMessage="1" sqref="D26:F26" xr:uid="{00000000-0002-0000-0400-000004000000}">
      <formula1>$M$34:$M$50</formula1>
    </dataValidation>
  </dataValidations>
  <pageMargins left="0.39370078740157483" right="0.39370078740157483" top="0.59055118110236227" bottom="0.59055118110236227" header="0.31496062992125984" footer="0.31496062992125984"/>
  <pageSetup scale="69" orientation="portrait" r:id="rId1"/>
  <headerFooter>
    <oddFooter>&amp;RPág. &amp;P -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1"/>
  <sheetViews>
    <sheetView view="pageBreakPreview" topLeftCell="A13" zoomScaleNormal="100" zoomScaleSheetLayoutView="10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13.109375" style="2" customWidth="1" collapsed="1"/>
    <col min="3" max="3" width="22.4414062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2.109375" style="2" customWidth="1" collapsed="1"/>
    <col min="12" max="12" width="14.44140625" style="2" customWidth="1" collapsed="1"/>
    <col min="13" max="14" width="11.44140625" style="6" customWidth="1" collapsed="1"/>
    <col min="15" max="16" width="11.44140625" style="2" customWidth="1" collapsed="1"/>
    <col min="17" max="16384" width="11.44140625" style="2" collapsed="1"/>
  </cols>
  <sheetData>
    <row r="1" spans="1:15" ht="15" customHeight="1" x14ac:dyDescent="0.3">
      <c r="A1" s="97"/>
      <c r="B1" s="97"/>
      <c r="C1" s="107" t="s">
        <v>11</v>
      </c>
      <c r="D1" s="108"/>
      <c r="E1" s="108"/>
      <c r="F1" s="108"/>
      <c r="G1" s="108"/>
      <c r="H1" s="109"/>
      <c r="I1" s="30" t="s">
        <v>20</v>
      </c>
      <c r="J1" s="164" t="s">
        <v>43</v>
      </c>
      <c r="K1" s="165"/>
    </row>
    <row r="2" spans="1:15" ht="20.25" customHeight="1" x14ac:dyDescent="0.3">
      <c r="A2" s="97"/>
      <c r="B2" s="97"/>
      <c r="C2" s="107"/>
      <c r="D2" s="108"/>
      <c r="E2" s="108"/>
      <c r="F2" s="108"/>
      <c r="G2" s="108"/>
      <c r="H2" s="109"/>
      <c r="I2" s="30" t="s">
        <v>21</v>
      </c>
      <c r="J2" s="31" t="s">
        <v>77</v>
      </c>
      <c r="K2" s="53">
        <v>42720</v>
      </c>
    </row>
    <row r="3" spans="1:15" x14ac:dyDescent="0.3">
      <c r="A3" s="97"/>
      <c r="B3" s="97"/>
      <c r="C3" s="107"/>
      <c r="D3" s="108"/>
      <c r="E3" s="108"/>
      <c r="F3" s="108"/>
      <c r="G3" s="108"/>
      <c r="H3" s="109"/>
      <c r="I3" s="30" t="s">
        <v>22</v>
      </c>
      <c r="J3" s="102">
        <v>42286</v>
      </c>
      <c r="K3" s="103"/>
    </row>
    <row r="4" spans="1:15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</row>
    <row r="5" spans="1:15" ht="15.75" customHeight="1" x14ac:dyDescent="0.3">
      <c r="A5" s="3"/>
      <c r="B5" s="13" t="s">
        <v>27</v>
      </c>
      <c r="C5" s="98" t="s">
        <v>100</v>
      </c>
      <c r="D5" s="98"/>
      <c r="E5" s="98"/>
      <c r="F5" s="98"/>
      <c r="G5" s="98"/>
      <c r="H5" s="13" t="s">
        <v>0</v>
      </c>
      <c r="I5" s="99">
        <v>46157</v>
      </c>
      <c r="J5" s="99"/>
    </row>
    <row r="6" spans="1:15" ht="15.75" customHeight="1" x14ac:dyDescent="0.3">
      <c r="A6" s="18"/>
      <c r="E6" s="19"/>
      <c r="F6" s="19"/>
      <c r="G6" s="11"/>
    </row>
    <row r="7" spans="1:15" ht="15.6" x14ac:dyDescent="0.3">
      <c r="A7" s="89" t="s">
        <v>9</v>
      </c>
      <c r="B7" s="89"/>
      <c r="C7" s="89"/>
      <c r="D7" s="89"/>
      <c r="E7" s="89"/>
      <c r="F7" s="89"/>
      <c r="G7" s="89"/>
      <c r="H7" s="89"/>
      <c r="I7" s="89"/>
      <c r="J7" s="89"/>
      <c r="K7" s="89"/>
    </row>
    <row r="8" spans="1:15" ht="28.8" x14ac:dyDescent="0.3">
      <c r="A8" s="86" t="s">
        <v>1</v>
      </c>
      <c r="B8" s="91" t="s">
        <v>9</v>
      </c>
      <c r="C8" s="92"/>
      <c r="D8" s="20" t="s">
        <v>46</v>
      </c>
      <c r="E8" s="9" t="s">
        <v>44</v>
      </c>
      <c r="F8" s="9" t="s">
        <v>45</v>
      </c>
      <c r="G8" s="14" t="s">
        <v>18</v>
      </c>
      <c r="H8" s="90" t="s">
        <v>28</v>
      </c>
      <c r="I8" s="90"/>
      <c r="J8" s="90"/>
      <c r="K8" s="90"/>
      <c r="M8" s="2"/>
      <c r="N8" s="2"/>
    </row>
    <row r="9" spans="1:15" ht="18" customHeight="1" x14ac:dyDescent="0.3">
      <c r="A9" s="29">
        <v>1</v>
      </c>
      <c r="B9" s="93" t="s">
        <v>24</v>
      </c>
      <c r="C9" s="94"/>
      <c r="D9" s="28">
        <v>3</v>
      </c>
      <c r="E9" s="7">
        <v>3</v>
      </c>
      <c r="F9" s="7">
        <v>3</v>
      </c>
      <c r="G9" s="22">
        <f>IF(D9="","",IF(D9=0,"-",IF(F9&gt;D9,"ERROR",IF(E9&gt;D9,"ERROR",IF(E9&lt;D9,0,IF(E9&gt;F9,0,IF(F9=D9,1,0)))))))</f>
        <v>1</v>
      </c>
      <c r="H9" s="88"/>
      <c r="I9" s="88"/>
      <c r="J9" s="88"/>
      <c r="K9" s="88"/>
    </row>
    <row r="10" spans="1:15" ht="18" customHeight="1" x14ac:dyDescent="0.3">
      <c r="A10" s="29">
        <v>2</v>
      </c>
      <c r="B10" s="93" t="s">
        <v>23</v>
      </c>
      <c r="C10" s="94"/>
      <c r="D10" s="28">
        <v>3</v>
      </c>
      <c r="E10" s="7">
        <v>3</v>
      </c>
      <c r="F10" s="7">
        <v>3</v>
      </c>
      <c r="G10" s="22">
        <f t="shared" ref="G10:G29" si="0">IF(D10="","",IF(D10=0,"-",IF(F10&gt;D10,"ERROR",IF(E10&gt;D10,"ERROR",IF(E10&lt;D10,0,IF(E10&gt;F10,0,IF(F10=D10,1,0)))))))</f>
        <v>1</v>
      </c>
      <c r="H10" s="88"/>
      <c r="I10" s="88"/>
      <c r="J10" s="88"/>
      <c r="K10" s="88"/>
    </row>
    <row r="11" spans="1:15" ht="18" customHeight="1" x14ac:dyDescent="0.3">
      <c r="A11" s="29">
        <v>3</v>
      </c>
      <c r="B11" s="93" t="s">
        <v>26</v>
      </c>
      <c r="C11" s="94"/>
      <c r="D11" s="28">
        <v>3</v>
      </c>
      <c r="E11" s="7">
        <v>3</v>
      </c>
      <c r="F11" s="7">
        <v>3</v>
      </c>
      <c r="G11" s="22">
        <f t="shared" si="0"/>
        <v>1</v>
      </c>
      <c r="H11" s="88"/>
      <c r="I11" s="88"/>
      <c r="J11" s="88"/>
      <c r="K11" s="88"/>
    </row>
    <row r="12" spans="1:15" ht="18" customHeight="1" x14ac:dyDescent="0.3">
      <c r="A12" s="29">
        <v>4</v>
      </c>
      <c r="B12" s="93" t="s">
        <v>25</v>
      </c>
      <c r="C12" s="94"/>
      <c r="D12" s="28">
        <v>3</v>
      </c>
      <c r="E12" s="7">
        <v>3</v>
      </c>
      <c r="F12" s="7">
        <v>3</v>
      </c>
      <c r="G12" s="22">
        <f t="shared" si="0"/>
        <v>1</v>
      </c>
      <c r="H12" s="88"/>
      <c r="I12" s="88"/>
      <c r="J12" s="88"/>
      <c r="K12" s="88"/>
    </row>
    <row r="13" spans="1:15" ht="18" customHeight="1" x14ac:dyDescent="0.3">
      <c r="A13" s="29">
        <v>5</v>
      </c>
      <c r="B13" s="93" t="s">
        <v>17</v>
      </c>
      <c r="C13" s="94"/>
      <c r="D13" s="28">
        <v>3</v>
      </c>
      <c r="E13" s="7">
        <v>3</v>
      </c>
      <c r="F13" s="7">
        <v>3</v>
      </c>
      <c r="G13" s="22">
        <f t="shared" si="0"/>
        <v>1</v>
      </c>
      <c r="H13" s="88"/>
      <c r="I13" s="88"/>
      <c r="J13" s="88"/>
      <c r="K13" s="88"/>
    </row>
    <row r="14" spans="1:15" ht="18" customHeight="1" x14ac:dyDescent="0.3">
      <c r="A14" s="29">
        <v>6</v>
      </c>
      <c r="B14" s="95" t="s">
        <v>49</v>
      </c>
      <c r="C14" s="96"/>
      <c r="D14" s="28">
        <v>1</v>
      </c>
      <c r="E14" s="7">
        <v>1</v>
      </c>
      <c r="F14" s="7">
        <v>1</v>
      </c>
      <c r="G14" s="22">
        <f t="shared" si="0"/>
        <v>1</v>
      </c>
      <c r="H14" s="88"/>
      <c r="I14" s="88"/>
      <c r="J14" s="88"/>
      <c r="K14" s="88"/>
      <c r="O14" s="54" t="s">
        <v>74</v>
      </c>
    </row>
    <row r="15" spans="1:15" ht="18" customHeight="1" x14ac:dyDescent="0.3">
      <c r="A15" s="145">
        <v>7</v>
      </c>
      <c r="B15" s="119" t="s">
        <v>19</v>
      </c>
      <c r="C15" s="120"/>
      <c r="D15" s="125">
        <v>2</v>
      </c>
      <c r="E15" s="128">
        <v>2</v>
      </c>
      <c r="F15" s="128">
        <v>2</v>
      </c>
      <c r="G15" s="113">
        <f>IF(D15="","",IF(D15=0,"-",IF(F15&gt;D15,"ERROR",IF(E15&gt;D15,"ERROR",IF(E15&lt;D15,0,IF(E15&gt;F15,0,IF(F15=D15,1,0)))))))</f>
        <v>1</v>
      </c>
      <c r="H15" s="52" t="s">
        <v>57</v>
      </c>
      <c r="I15" s="82"/>
      <c r="J15" s="52" t="s">
        <v>56</v>
      </c>
      <c r="K15" s="82"/>
      <c r="O15" s="54" t="s">
        <v>76</v>
      </c>
    </row>
    <row r="16" spans="1:15" ht="18" customHeight="1" x14ac:dyDescent="0.3">
      <c r="A16" s="146"/>
      <c r="B16" s="121"/>
      <c r="C16" s="122"/>
      <c r="D16" s="126"/>
      <c r="E16" s="129"/>
      <c r="F16" s="129"/>
      <c r="G16" s="114"/>
      <c r="H16" s="52" t="s">
        <v>58</v>
      </c>
      <c r="I16" s="82"/>
      <c r="J16" s="52" t="s">
        <v>56</v>
      </c>
      <c r="K16" s="82"/>
      <c r="M16" s="2"/>
      <c r="N16" s="2"/>
      <c r="O16" s="54" t="s">
        <v>78</v>
      </c>
    </row>
    <row r="17" spans="1:15" ht="18" customHeight="1" x14ac:dyDescent="0.3">
      <c r="A17" s="146"/>
      <c r="B17" s="121"/>
      <c r="C17" s="122"/>
      <c r="D17" s="126"/>
      <c r="E17" s="129"/>
      <c r="F17" s="129"/>
      <c r="G17" s="114"/>
      <c r="H17" s="52" t="s">
        <v>59</v>
      </c>
      <c r="I17" s="82"/>
      <c r="J17" s="52" t="s">
        <v>56</v>
      </c>
      <c r="K17" s="82"/>
      <c r="M17" s="2"/>
      <c r="N17" s="2"/>
      <c r="O17" s="54" t="s">
        <v>79</v>
      </c>
    </row>
    <row r="18" spans="1:15" ht="18" customHeight="1" x14ac:dyDescent="0.3">
      <c r="A18" s="146"/>
      <c r="B18" s="121"/>
      <c r="C18" s="122"/>
      <c r="D18" s="126"/>
      <c r="E18" s="129"/>
      <c r="F18" s="129"/>
      <c r="G18" s="114"/>
      <c r="H18" s="52" t="s">
        <v>60</v>
      </c>
      <c r="I18" s="82"/>
      <c r="J18" s="52" t="s">
        <v>56</v>
      </c>
      <c r="K18" s="82"/>
      <c r="M18" s="2"/>
      <c r="N18" s="2"/>
      <c r="O18" s="54" t="s">
        <v>100</v>
      </c>
    </row>
    <row r="19" spans="1:15" ht="18" customHeight="1" x14ac:dyDescent="0.3">
      <c r="A19" s="146"/>
      <c r="B19" s="121"/>
      <c r="C19" s="122"/>
      <c r="D19" s="126"/>
      <c r="E19" s="129"/>
      <c r="F19" s="129"/>
      <c r="G19" s="114"/>
      <c r="H19" s="52" t="s">
        <v>61</v>
      </c>
      <c r="I19" s="82"/>
      <c r="J19" s="52" t="s">
        <v>56</v>
      </c>
      <c r="K19" s="82"/>
      <c r="M19" s="2"/>
      <c r="N19" s="2"/>
      <c r="O19" s="54" t="s">
        <v>101</v>
      </c>
    </row>
    <row r="20" spans="1:15" ht="18" customHeight="1" x14ac:dyDescent="0.3">
      <c r="A20" s="146"/>
      <c r="B20" s="121"/>
      <c r="C20" s="122"/>
      <c r="D20" s="126"/>
      <c r="E20" s="129"/>
      <c r="F20" s="129"/>
      <c r="G20" s="114"/>
      <c r="H20" s="52" t="s">
        <v>62</v>
      </c>
      <c r="I20" s="83"/>
      <c r="J20" s="52" t="s">
        <v>56</v>
      </c>
      <c r="K20" s="82"/>
      <c r="M20" s="2"/>
      <c r="N20" s="2"/>
    </row>
    <row r="21" spans="1:15" ht="18.75" customHeight="1" x14ac:dyDescent="0.3">
      <c r="A21" s="146"/>
      <c r="B21" s="121"/>
      <c r="C21" s="122"/>
      <c r="D21" s="126"/>
      <c r="E21" s="129"/>
      <c r="F21" s="129"/>
      <c r="G21" s="114"/>
      <c r="H21" s="52" t="s">
        <v>63</v>
      </c>
      <c r="I21" s="83"/>
      <c r="J21" s="52" t="s">
        <v>56</v>
      </c>
      <c r="K21" s="82"/>
      <c r="L21" s="4"/>
      <c r="M21" s="2"/>
      <c r="N21" s="2"/>
    </row>
    <row r="22" spans="1:15" ht="18.75" customHeight="1" x14ac:dyDescent="0.3">
      <c r="A22" s="147"/>
      <c r="B22" s="123"/>
      <c r="C22" s="124"/>
      <c r="D22" s="127"/>
      <c r="E22" s="130"/>
      <c r="F22" s="130"/>
      <c r="G22" s="115"/>
      <c r="H22" s="116"/>
      <c r="I22" s="117"/>
      <c r="J22" s="117"/>
      <c r="K22" s="118"/>
      <c r="L22" s="4"/>
      <c r="M22" s="2"/>
      <c r="N22" s="2"/>
    </row>
    <row r="23" spans="1:15" ht="18" customHeight="1" x14ac:dyDescent="0.3">
      <c r="A23" s="29">
        <v>8</v>
      </c>
      <c r="B23" s="95" t="s">
        <v>16</v>
      </c>
      <c r="C23" s="96"/>
      <c r="D23" s="28">
        <v>1</v>
      </c>
      <c r="E23" s="7">
        <v>1</v>
      </c>
      <c r="F23" s="7">
        <v>1</v>
      </c>
      <c r="G23" s="22">
        <f t="shared" si="0"/>
        <v>1</v>
      </c>
      <c r="H23" s="88"/>
      <c r="I23" s="88"/>
      <c r="J23" s="88"/>
      <c r="K23" s="88"/>
      <c r="M23" s="2"/>
      <c r="N23" s="2"/>
    </row>
    <row r="24" spans="1:15" ht="18" customHeight="1" x14ac:dyDescent="0.3">
      <c r="A24" s="29">
        <v>9</v>
      </c>
      <c r="B24" s="95" t="s">
        <v>15</v>
      </c>
      <c r="C24" s="96"/>
      <c r="D24" s="28">
        <v>1</v>
      </c>
      <c r="E24" s="7">
        <v>1</v>
      </c>
      <c r="F24" s="7">
        <v>1</v>
      </c>
      <c r="G24" s="22">
        <f t="shared" si="0"/>
        <v>1</v>
      </c>
      <c r="H24" s="88"/>
      <c r="I24" s="88"/>
      <c r="J24" s="88"/>
      <c r="K24" s="88"/>
      <c r="M24" s="2"/>
      <c r="N24" s="2"/>
    </row>
    <row r="25" spans="1:15" ht="18" customHeight="1" x14ac:dyDescent="0.3">
      <c r="A25" s="29">
        <v>10</v>
      </c>
      <c r="B25" s="93" t="s">
        <v>8</v>
      </c>
      <c r="C25" s="94"/>
      <c r="D25" s="28">
        <v>4</v>
      </c>
      <c r="E25" s="7">
        <v>4</v>
      </c>
      <c r="F25" s="7">
        <v>4</v>
      </c>
      <c r="G25" s="22">
        <f t="shared" si="0"/>
        <v>1</v>
      </c>
      <c r="H25" s="88"/>
      <c r="I25" s="88"/>
      <c r="J25" s="88"/>
      <c r="K25" s="88"/>
      <c r="M25" s="2"/>
      <c r="N25" s="2"/>
    </row>
    <row r="26" spans="1:15" ht="18" customHeight="1" x14ac:dyDescent="0.3">
      <c r="A26" s="29">
        <v>11</v>
      </c>
      <c r="B26" s="154" t="s">
        <v>96</v>
      </c>
      <c r="C26" s="155"/>
      <c r="D26" s="28">
        <v>1</v>
      </c>
      <c r="E26" s="28">
        <v>1</v>
      </c>
      <c r="F26" s="28">
        <v>1</v>
      </c>
      <c r="G26" s="22">
        <f t="shared" si="0"/>
        <v>1</v>
      </c>
      <c r="H26" s="88"/>
      <c r="I26" s="88"/>
      <c r="J26" s="88"/>
      <c r="K26" s="88"/>
      <c r="M26" s="2"/>
      <c r="N26" s="2"/>
    </row>
    <row r="27" spans="1:15" ht="18" customHeight="1" x14ac:dyDescent="0.3">
      <c r="A27" s="29">
        <v>12</v>
      </c>
      <c r="B27" s="137" t="s">
        <v>54</v>
      </c>
      <c r="C27" s="138"/>
      <c r="D27" s="28">
        <v>1</v>
      </c>
      <c r="E27" s="7">
        <v>1</v>
      </c>
      <c r="F27" s="7">
        <v>1</v>
      </c>
      <c r="G27" s="22">
        <f t="shared" si="0"/>
        <v>1</v>
      </c>
      <c r="H27" s="88"/>
      <c r="I27" s="88"/>
      <c r="J27" s="88"/>
      <c r="K27" s="88"/>
    </row>
    <row r="28" spans="1:15" ht="18" customHeight="1" x14ac:dyDescent="0.3">
      <c r="A28" s="29">
        <v>13</v>
      </c>
      <c r="B28" s="139" t="s">
        <v>50</v>
      </c>
      <c r="C28" s="140"/>
      <c r="D28" s="85">
        <v>1</v>
      </c>
      <c r="E28" s="7">
        <v>1</v>
      </c>
      <c r="F28" s="7">
        <v>1</v>
      </c>
      <c r="G28" s="84">
        <f t="shared" si="0"/>
        <v>1</v>
      </c>
      <c r="H28" s="141"/>
      <c r="I28" s="141"/>
      <c r="J28" s="141"/>
      <c r="K28" s="141"/>
    </row>
    <row r="29" spans="1:15" ht="18" customHeight="1" thickBot="1" x14ac:dyDescent="0.35">
      <c r="A29" s="29">
        <v>14</v>
      </c>
      <c r="B29" s="134" t="s">
        <v>64</v>
      </c>
      <c r="C29" s="135"/>
      <c r="D29" s="28">
        <v>2</v>
      </c>
      <c r="E29" s="7">
        <v>2</v>
      </c>
      <c r="F29" s="7">
        <v>2</v>
      </c>
      <c r="G29" s="22">
        <f t="shared" si="0"/>
        <v>1</v>
      </c>
      <c r="H29" s="88"/>
      <c r="I29" s="88"/>
      <c r="J29" s="88"/>
      <c r="K29" s="88"/>
    </row>
    <row r="30" spans="1:15" ht="19.5" customHeight="1" thickBot="1" x14ac:dyDescent="0.35">
      <c r="A30" s="157" t="s">
        <v>51</v>
      </c>
      <c r="B30" s="158"/>
      <c r="C30" s="158"/>
      <c r="D30" s="158"/>
      <c r="E30" s="158"/>
      <c r="F30" s="158"/>
      <c r="G30" s="159">
        <f>IFERROR(AVERAGE(G9:G28),"-")</f>
        <v>1</v>
      </c>
      <c r="H30" s="160"/>
      <c r="I30" s="160"/>
      <c r="J30" s="160"/>
      <c r="K30" s="161"/>
    </row>
    <row r="31" spans="1:15" ht="17.25" customHeight="1" x14ac:dyDescent="0.3">
      <c r="A31" s="34"/>
      <c r="E31" s="17"/>
      <c r="F31" s="35"/>
      <c r="G31" s="36"/>
      <c r="H31" s="25"/>
      <c r="I31" s="37"/>
      <c r="J31" s="23"/>
    </row>
    <row r="32" spans="1:15" ht="28.5" customHeight="1" x14ac:dyDescent="0.3">
      <c r="A32" s="148" t="s">
        <v>53</v>
      </c>
      <c r="B32" s="148"/>
      <c r="C32" s="149" t="s">
        <v>104</v>
      </c>
      <c r="D32" s="149"/>
      <c r="E32" s="38"/>
      <c r="F32" s="38"/>
      <c r="G32" s="24"/>
      <c r="H32" s="25"/>
      <c r="I32" s="26"/>
      <c r="J32" s="25"/>
    </row>
    <row r="33" spans="1:16" x14ac:dyDescent="0.3">
      <c r="A33" s="148" t="s">
        <v>55</v>
      </c>
      <c r="B33" s="148"/>
      <c r="C33" s="150" t="s">
        <v>105</v>
      </c>
      <c r="D33" s="151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36" t="s">
        <v>52</v>
      </c>
      <c r="B35" s="136"/>
      <c r="C35" s="136"/>
      <c r="D35" s="136"/>
      <c r="E35" s="136"/>
      <c r="F35" s="136"/>
      <c r="G35" s="136"/>
      <c r="H35" s="136"/>
      <c r="I35" s="136"/>
      <c r="J35" s="136"/>
      <c r="K35" s="136"/>
    </row>
    <row r="36" spans="1:16" x14ac:dyDescent="0.3">
      <c r="A36" s="136"/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M36" s="2"/>
      <c r="N36" s="2"/>
    </row>
    <row r="37" spans="1:16" x14ac:dyDescent="0.3">
      <c r="M37" s="2"/>
      <c r="N37" s="2"/>
    </row>
    <row r="38" spans="1:16" x14ac:dyDescent="0.3">
      <c r="M38" s="2"/>
      <c r="N38" s="2"/>
    </row>
    <row r="39" spans="1:16" ht="28.8" hidden="1" x14ac:dyDescent="0.3">
      <c r="L39" s="5" t="s">
        <v>12</v>
      </c>
      <c r="M39" s="21" t="s">
        <v>48</v>
      </c>
      <c r="N39" s="21" t="s">
        <v>47</v>
      </c>
      <c r="O39" s="42" t="s">
        <v>29</v>
      </c>
    </row>
    <row r="40" spans="1:16" ht="15.6" hidden="1" x14ac:dyDescent="0.3">
      <c r="K40" s="5" t="s">
        <v>10</v>
      </c>
      <c r="L40" s="8" t="s">
        <v>13</v>
      </c>
      <c r="M40" s="6">
        <v>0</v>
      </c>
      <c r="N40" s="44" t="s">
        <v>13</v>
      </c>
      <c r="O40" s="6" t="s">
        <v>30</v>
      </c>
      <c r="P40" s="10"/>
    </row>
    <row r="41" spans="1:16" hidden="1" x14ac:dyDescent="0.3">
      <c r="K41" s="1" t="str">
        <f>IF(MAESTRO!A1="","",MAESTRO!A1)</f>
        <v>******SUCURSALES</v>
      </c>
      <c r="L41" s="43" t="s">
        <v>14</v>
      </c>
      <c r="M41" s="15">
        <v>1</v>
      </c>
      <c r="N41" s="43" t="s">
        <v>14</v>
      </c>
      <c r="O41" s="6" t="s">
        <v>31</v>
      </c>
    </row>
    <row r="42" spans="1:16" hidden="1" x14ac:dyDescent="0.3">
      <c r="K42" s="1" t="str">
        <f>IF(MAESTRO!A2="","",MAESTRO!A2)</f>
        <v>LA CASA DE LA CAÑA, C.A. (T. ALTERNA)</v>
      </c>
      <c r="M42" s="16">
        <v>2</v>
      </c>
      <c r="N42" s="16"/>
      <c r="O42" s="6" t="s">
        <v>32</v>
      </c>
    </row>
    <row r="43" spans="1:16" hidden="1" x14ac:dyDescent="0.3">
      <c r="K43" s="1" t="str">
        <f>IF(MAESTRO!A3="","",MAESTRO!A3)</f>
        <v>LA CASA DE LA CAÑA, C.A. (T. ANACO)</v>
      </c>
      <c r="M43" s="16">
        <v>3</v>
      </c>
      <c r="N43" s="16"/>
      <c r="O43" s="6" t="s">
        <v>33</v>
      </c>
    </row>
    <row r="44" spans="1:16" hidden="1" x14ac:dyDescent="0.3">
      <c r="K44" s="1" t="str">
        <f>IF(MAESTRO!A4="","",MAESTRO!A4)</f>
        <v>LA CASA DE LA CAÑA, C.A. (T. CUMANÁ)</v>
      </c>
      <c r="L44" s="1"/>
      <c r="M44" s="16">
        <v>4</v>
      </c>
      <c r="N44" s="15"/>
      <c r="O44" s="6" t="s">
        <v>34</v>
      </c>
    </row>
    <row r="45" spans="1:16" hidden="1" x14ac:dyDescent="0.3">
      <c r="K45" s="1" t="str">
        <f>IF(MAESTRO!A5="","",MAESTRO!A5)</f>
        <v>LA CASA DE LA CAÑA, C.A. (T. MATURÍN I)</v>
      </c>
      <c r="L45" s="1"/>
      <c r="M45" s="15">
        <v>5</v>
      </c>
      <c r="N45" s="15"/>
      <c r="O45" s="6" t="s">
        <v>35</v>
      </c>
    </row>
    <row r="46" spans="1:16" hidden="1" x14ac:dyDescent="0.3">
      <c r="K46" s="1" t="str">
        <f>IF(MAESTRO!A6="","",MAESTRO!A6)</f>
        <v>LA CASA DE LA CAÑA, C.A. (T. MATURÍN II)</v>
      </c>
      <c r="L46" s="1"/>
      <c r="M46" s="15">
        <v>6</v>
      </c>
      <c r="N46" s="15"/>
      <c r="O46" s="6" t="s">
        <v>36</v>
      </c>
    </row>
    <row r="47" spans="1:16" hidden="1" x14ac:dyDescent="0.3">
      <c r="K47" s="1" t="str">
        <f>IF(MAESTRO!A7="","",MAESTRO!A7)</f>
        <v>LA CASA DE LA CAÑA, C.A. (T. NVA. BARCELONA)</v>
      </c>
      <c r="L47" s="1"/>
      <c r="M47" s="15">
        <v>7</v>
      </c>
      <c r="N47" s="15"/>
      <c r="O47" s="6" t="s">
        <v>37</v>
      </c>
    </row>
    <row r="48" spans="1:16" hidden="1" x14ac:dyDescent="0.3">
      <c r="K48" s="1" t="str">
        <f>IF(MAESTRO!A8="","",MAESTRO!A8)</f>
        <v>INVERSIONES CAÑANDONGA,C.A (T. CONEJERO)</v>
      </c>
      <c r="L48" s="1"/>
      <c r="M48" s="15">
        <v>8</v>
      </c>
      <c r="N48" s="15"/>
      <c r="O48" s="6" t="s">
        <v>38</v>
      </c>
    </row>
    <row r="49" spans="5:15" hidden="1" x14ac:dyDescent="0.3">
      <c r="E49" s="2"/>
      <c r="F49" s="2"/>
      <c r="G49" s="2"/>
      <c r="K49" s="1" t="str">
        <f>IF(MAESTRO!A9="","",MAESTRO!A9)</f>
        <v>OPERADORA EL MERCADO 2011, C.A. (T. MERCADO)</v>
      </c>
      <c r="L49" s="1"/>
      <c r="M49" s="15">
        <v>9</v>
      </c>
      <c r="N49" s="15"/>
      <c r="O49" s="6" t="s">
        <v>39</v>
      </c>
    </row>
    <row r="50" spans="5:15" hidden="1" x14ac:dyDescent="0.3">
      <c r="E50" s="2"/>
      <c r="F50" s="2"/>
      <c r="G50" s="2"/>
      <c r="K50" s="1" t="str">
        <f>IF(MAESTRO!A10="","",MAESTRO!A10)</f>
        <v>OPERADORA EL PUENTE 2011, C.A. (T. PUENTE REAL)</v>
      </c>
      <c r="L50" s="1"/>
      <c r="M50" s="15">
        <v>10</v>
      </c>
      <c r="N50" s="15"/>
      <c r="O50" s="6" t="s">
        <v>40</v>
      </c>
    </row>
    <row r="51" spans="5:15" hidden="1" x14ac:dyDescent="0.3">
      <c r="E51" s="2"/>
      <c r="F51" s="2"/>
      <c r="G51" s="2"/>
      <c r="K51" s="1" t="str">
        <f>IF(MAESTRO!A11="","",MAESTRO!A11)</f>
        <v>OPERADORA LECHERÍA 2011, C.A. (T. LECHERÍA)</v>
      </c>
      <c r="L51" s="1"/>
      <c r="M51" s="15">
        <v>11</v>
      </c>
      <c r="N51" s="15"/>
      <c r="O51" s="6" t="s">
        <v>41</v>
      </c>
    </row>
    <row r="52" spans="5:15" hidden="1" x14ac:dyDescent="0.3">
      <c r="E52" s="2"/>
      <c r="F52" s="2"/>
      <c r="G52" s="2"/>
      <c r="K52" s="1" t="str">
        <f>IF(MAESTRO!A12="","",MAESTRO!A12)</f>
        <v>OPERADORA PUERTO LA CRUZ 2011, C.A. (T. PUERTO LA CRUZ)</v>
      </c>
      <c r="L52" s="1"/>
      <c r="M52" s="15">
        <v>12</v>
      </c>
      <c r="N52" s="15"/>
      <c r="O52" s="6"/>
    </row>
    <row r="53" spans="5:15" hidden="1" x14ac:dyDescent="0.3">
      <c r="E53" s="2"/>
      <c r="F53" s="2"/>
      <c r="G53" s="2"/>
      <c r="K53" s="1" t="str">
        <f>IF(MAESTRO!A13="","",MAESTRO!A13)</f>
        <v>OPERADORA PUERTO ORDAZ 2013, C.A.(T. PUERTO ORDAZ)</v>
      </c>
      <c r="L53" s="1"/>
      <c r="M53" s="15">
        <v>13</v>
      </c>
      <c r="N53" s="15"/>
      <c r="O53" s="6"/>
    </row>
    <row r="54" spans="5:15" hidden="1" x14ac:dyDescent="0.3">
      <c r="E54" s="2"/>
      <c r="F54" s="2"/>
      <c r="G54" s="2"/>
      <c r="K54" s="1" t="str">
        <f>IF(MAESTRO!A14="","",MAESTRO!A14)</f>
        <v>OPERADORA LAS AMERICAS, C.A</v>
      </c>
      <c r="L54" s="1"/>
      <c r="M54" s="15">
        <v>14</v>
      </c>
      <c r="N54" s="15"/>
      <c r="O54" s="6"/>
    </row>
    <row r="55" spans="5:15" hidden="1" x14ac:dyDescent="0.3">
      <c r="E55" s="2"/>
      <c r="F55" s="2"/>
      <c r="G55" s="2"/>
      <c r="K55" s="1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1" t="str">
        <f>IF(MAESTRO!A16="","",MAESTRO!A16)</f>
        <v>RELIVE, C.A. (T. CHUPARÍN)</v>
      </c>
    </row>
    <row r="57" spans="5:15" hidden="1" x14ac:dyDescent="0.3">
      <c r="K57" s="1" t="str">
        <f>IF(MAESTRO!A17="","",MAESTRO!A17)</f>
        <v>RELIVE, C.A. (T. TERRAZAS)</v>
      </c>
    </row>
    <row r="58" spans="5:15" hidden="1" x14ac:dyDescent="0.3">
      <c r="K58" s="1" t="str">
        <f>IF(MAESTRO!A18="","",MAESTRO!A18)</f>
        <v>RELIVE, C.A. (T. TIGRE II)</v>
      </c>
    </row>
    <row r="59" spans="5:15" x14ac:dyDescent="0.3">
      <c r="K59" s="1" t="str">
        <f>IF(MAESTRO!A19="","",MAESTRO!A19)</f>
        <v>RELIVE, C.A. (T. TIGRE III)</v>
      </c>
    </row>
    <row r="60" spans="5:15" x14ac:dyDescent="0.3">
      <c r="K60" s="1" t="str">
        <f>IF(MAESTRO!A20="","",MAESTRO!A20)</f>
        <v/>
      </c>
    </row>
    <row r="61" spans="5:15" x14ac:dyDescent="0.3">
      <c r="K61" s="1" t="str">
        <f>IF(MAESTRO!A21="","",MAESTRO!A21)</f>
        <v/>
      </c>
    </row>
  </sheetData>
  <sheetProtection selectLockedCells="1"/>
  <dataConsolidate/>
  <mergeCells count="49">
    <mergeCell ref="A33:B33"/>
    <mergeCell ref="C33:D33"/>
    <mergeCell ref="A35:K36"/>
    <mergeCell ref="B29:C29"/>
    <mergeCell ref="H29:K29"/>
    <mergeCell ref="A30:F30"/>
    <mergeCell ref="G30:K30"/>
    <mergeCell ref="A32:B32"/>
    <mergeCell ref="C32:D32"/>
    <mergeCell ref="B26:C26"/>
    <mergeCell ref="H26:K26"/>
    <mergeCell ref="B27:C27"/>
    <mergeCell ref="H27:K27"/>
    <mergeCell ref="B28:C28"/>
    <mergeCell ref="H28:K28"/>
    <mergeCell ref="B23:C23"/>
    <mergeCell ref="H23:K23"/>
    <mergeCell ref="B24:C24"/>
    <mergeCell ref="H24:K24"/>
    <mergeCell ref="B25:C25"/>
    <mergeCell ref="H25:K25"/>
    <mergeCell ref="B14:C14"/>
    <mergeCell ref="H14:K14"/>
    <mergeCell ref="A15:A22"/>
    <mergeCell ref="B15:C22"/>
    <mergeCell ref="D15:D22"/>
    <mergeCell ref="E15:E22"/>
    <mergeCell ref="F15:F22"/>
    <mergeCell ref="G15:G22"/>
    <mergeCell ref="H22:K22"/>
    <mergeCell ref="B11:C11"/>
    <mergeCell ref="H11:K11"/>
    <mergeCell ref="B12:C12"/>
    <mergeCell ref="H12:K12"/>
    <mergeCell ref="B13:C13"/>
    <mergeCell ref="H13:K13"/>
    <mergeCell ref="B10:C10"/>
    <mergeCell ref="H10:K10"/>
    <mergeCell ref="A1:B3"/>
    <mergeCell ref="C1:H3"/>
    <mergeCell ref="J1:K1"/>
    <mergeCell ref="J3:K3"/>
    <mergeCell ref="C5:G5"/>
    <mergeCell ref="I5:J5"/>
    <mergeCell ref="A7:K7"/>
    <mergeCell ref="B8:C8"/>
    <mergeCell ref="H8:K8"/>
    <mergeCell ref="B9:C9"/>
    <mergeCell ref="H9:K9"/>
  </mergeCells>
  <dataValidations count="5">
    <dataValidation type="list" allowBlank="1" showInputMessage="1" showErrorMessage="1" sqref="D26:F26" xr:uid="{00000000-0002-0000-0500-000000000000}">
      <formula1>$M$34:$M$50</formula1>
    </dataValidation>
    <dataValidation type="list" allowBlank="1" showInputMessage="1" showErrorMessage="1" sqref="C5:G5" xr:uid="{00000000-0002-0000-0500-000001000000}">
      <formula1>$O$14:$O$20</formula1>
    </dataValidation>
    <dataValidation type="list" allowBlank="1" showInputMessage="1" showErrorMessage="1" sqref="D15 E9:F15 E23:F25 E27:F29" xr:uid="{00000000-0002-0000-0500-000002000000}">
      <formula1>$M$41:$M$55</formula1>
    </dataValidation>
    <dataValidation type="list" allowBlank="1" showInputMessage="1" showErrorMessage="1" sqref="D9" xr:uid="{00000000-0002-0000-0500-000003000000}">
      <formula1>$M$33:$M$48</formula1>
    </dataValidation>
    <dataValidation type="list" allowBlank="1" showInputMessage="1" showErrorMessage="1" sqref="D10:D14 D23:D25 D27:D29" xr:uid="{00000000-0002-0000-0500-000004000000}">
      <formula1>$M$33:$M$49</formula1>
    </dataValidation>
  </dataValidations>
  <pageMargins left="0.39370078740157483" right="0.39370078740157483" top="0.59055118110236227" bottom="0.59055118110236227" header="0.31496062992125984" footer="0.31496062992125984"/>
  <pageSetup scale="69" orientation="portrait" r:id="rId1"/>
  <headerFooter>
    <oddFooter>&amp;RPág. &amp;P -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9"/>
  <sheetViews>
    <sheetView zoomScale="80" zoomScaleNormal="80" workbookViewId="0">
      <pane xSplit="1" ySplit="2" topLeftCell="B12" activePane="bottomRight" state="frozen"/>
      <selection pane="topRight" activeCell="B1" sqref="B1"/>
      <selection pane="bottomLeft" activeCell="A3" sqref="A3"/>
      <selection pane="bottomRight" activeCell="H60" sqref="H60"/>
    </sheetView>
  </sheetViews>
  <sheetFormatPr baseColWidth="10" defaultRowHeight="14.4" x14ac:dyDescent="0.3"/>
  <cols>
    <col min="8" max="8" width="11.44140625" style="1"/>
  </cols>
  <sheetData>
    <row r="1" spans="1:9" ht="15" thickBot="1" x14ac:dyDescent="0.35">
      <c r="A1" s="169" t="s">
        <v>9</v>
      </c>
      <c r="B1" s="170"/>
      <c r="C1" s="173" t="s">
        <v>10</v>
      </c>
      <c r="D1" s="174"/>
      <c r="E1" s="174"/>
      <c r="F1" s="174"/>
      <c r="G1" s="174"/>
      <c r="H1" s="174"/>
      <c r="I1" s="175"/>
    </row>
    <row r="2" spans="1:9" ht="15" thickBot="1" x14ac:dyDescent="0.35">
      <c r="A2" s="171"/>
      <c r="B2" s="172"/>
      <c r="C2" s="55" t="s">
        <v>90</v>
      </c>
      <c r="D2" s="55" t="s">
        <v>91</v>
      </c>
      <c r="E2" s="55" t="s">
        <v>92</v>
      </c>
      <c r="F2" s="55" t="s">
        <v>93</v>
      </c>
      <c r="G2" s="55" t="s">
        <v>94</v>
      </c>
      <c r="H2" s="56" t="s">
        <v>102</v>
      </c>
      <c r="I2" s="56" t="s">
        <v>84</v>
      </c>
    </row>
    <row r="3" spans="1:9" x14ac:dyDescent="0.3">
      <c r="A3" s="176" t="s">
        <v>24</v>
      </c>
      <c r="B3" s="57" t="s">
        <v>85</v>
      </c>
      <c r="C3" s="58">
        <f>CON!D9</f>
        <v>4</v>
      </c>
      <c r="D3" s="58">
        <f>PLA!D9</f>
        <v>5</v>
      </c>
      <c r="E3" s="58">
        <f>ROB!D9</f>
        <v>3</v>
      </c>
      <c r="F3" s="81">
        <f>FUE!D9</f>
        <v>3</v>
      </c>
      <c r="G3" s="81">
        <f>ANG!D9</f>
        <v>4</v>
      </c>
      <c r="H3" s="81">
        <f>AERO!E9</f>
        <v>3</v>
      </c>
      <c r="I3" s="59">
        <f t="shared" ref="I3:I4" si="0">SUM(C3:H3)</f>
        <v>22</v>
      </c>
    </row>
    <row r="4" spans="1:9" x14ac:dyDescent="0.3">
      <c r="A4" s="176"/>
      <c r="B4" s="60" t="s">
        <v>86</v>
      </c>
      <c r="C4" s="58">
        <f>CON!E9</f>
        <v>4</v>
      </c>
      <c r="D4" s="58">
        <f>PLA!E9</f>
        <v>5</v>
      </c>
      <c r="E4" s="58">
        <f>ROB!E9</f>
        <v>3</v>
      </c>
      <c r="F4" s="81">
        <f>FUE!E9</f>
        <v>3</v>
      </c>
      <c r="G4" s="81">
        <f>ANG!E9</f>
        <v>4</v>
      </c>
      <c r="H4" s="81">
        <f>AERO!F9</f>
        <v>3</v>
      </c>
      <c r="I4" s="59">
        <f t="shared" si="0"/>
        <v>22</v>
      </c>
    </row>
    <row r="5" spans="1:9" x14ac:dyDescent="0.3">
      <c r="A5" s="176"/>
      <c r="B5" s="60" t="s">
        <v>87</v>
      </c>
      <c r="C5" s="58">
        <f>CON!F9</f>
        <v>4</v>
      </c>
      <c r="D5" s="58">
        <f>PLA!F9</f>
        <v>5</v>
      </c>
      <c r="E5" s="58">
        <f>ROB!F9</f>
        <v>3</v>
      </c>
      <c r="F5" s="81">
        <f>FUE!F9</f>
        <v>3</v>
      </c>
      <c r="G5" s="81">
        <f>ANG!F9</f>
        <v>4</v>
      </c>
      <c r="H5" s="81">
        <f>AERO!F9</f>
        <v>3</v>
      </c>
      <c r="I5" s="59">
        <f>SUM(C5:H5)</f>
        <v>22</v>
      </c>
    </row>
    <row r="6" spans="1:9" ht="15" thickBot="1" x14ac:dyDescent="0.35">
      <c r="A6" s="177"/>
      <c r="B6" s="62" t="s">
        <v>88</v>
      </c>
      <c r="C6" s="63">
        <f>+C5/C4</f>
        <v>1</v>
      </c>
      <c r="D6" s="63">
        <f t="shared" ref="D6:H6" si="1">+D5/D4</f>
        <v>1</v>
      </c>
      <c r="E6" s="63">
        <f t="shared" si="1"/>
        <v>1</v>
      </c>
      <c r="F6" s="63">
        <f t="shared" si="1"/>
        <v>1</v>
      </c>
      <c r="G6" s="63">
        <f t="shared" si="1"/>
        <v>1</v>
      </c>
      <c r="H6" s="63">
        <f t="shared" si="1"/>
        <v>1</v>
      </c>
      <c r="I6" s="64">
        <f>AVERAGE(C6:G6)</f>
        <v>1</v>
      </c>
    </row>
    <row r="7" spans="1:9" ht="15" thickBot="1" x14ac:dyDescent="0.35">
      <c r="A7" s="178" t="s">
        <v>23</v>
      </c>
      <c r="B7" s="60" t="s">
        <v>85</v>
      </c>
      <c r="C7" s="65">
        <f>CON!D10</f>
        <v>4</v>
      </c>
      <c r="D7" s="65">
        <f>PLA!D10</f>
        <v>5</v>
      </c>
      <c r="E7" s="65">
        <f>ROB!D10</f>
        <v>3</v>
      </c>
      <c r="F7" s="65">
        <f>FUE!D10</f>
        <v>3</v>
      </c>
      <c r="G7" s="65">
        <f>ANG!D10</f>
        <v>4</v>
      </c>
      <c r="H7" s="65">
        <f>AERO!E10</f>
        <v>3</v>
      </c>
      <c r="I7" s="59">
        <f>SUM(C7:H7)</f>
        <v>22</v>
      </c>
    </row>
    <row r="8" spans="1:9" ht="15" thickBot="1" x14ac:dyDescent="0.35">
      <c r="A8" s="176"/>
      <c r="B8" s="60" t="s">
        <v>86</v>
      </c>
      <c r="C8" s="65">
        <f>CON!E10</f>
        <v>4</v>
      </c>
      <c r="D8" s="58">
        <f>PLA!E10</f>
        <v>5</v>
      </c>
      <c r="E8" s="58">
        <f>ROB!E10</f>
        <v>3</v>
      </c>
      <c r="F8" s="58">
        <f>FUE!E10</f>
        <v>3</v>
      </c>
      <c r="G8" s="58">
        <f>ANG!E10</f>
        <v>4</v>
      </c>
      <c r="H8" s="58">
        <f>AERO!F10</f>
        <v>3</v>
      </c>
      <c r="I8" s="59">
        <f t="shared" ref="I8:I9" si="2">SUM(C8:H8)</f>
        <v>22</v>
      </c>
    </row>
    <row r="9" spans="1:9" x14ac:dyDescent="0.3">
      <c r="A9" s="176"/>
      <c r="B9" s="60" t="s">
        <v>87</v>
      </c>
      <c r="C9" s="65">
        <f>CON!F10</f>
        <v>4</v>
      </c>
      <c r="D9" s="61">
        <f>PLA!F10</f>
        <v>5</v>
      </c>
      <c r="E9" s="61">
        <f>ROB!F10</f>
        <v>3</v>
      </c>
      <c r="F9" s="61">
        <f>FUE!F10</f>
        <v>3</v>
      </c>
      <c r="G9" s="61">
        <f>ANG!F10</f>
        <v>4</v>
      </c>
      <c r="H9" s="87">
        <f>AERO!F10</f>
        <v>3</v>
      </c>
      <c r="I9" s="59">
        <f t="shared" si="2"/>
        <v>22</v>
      </c>
    </row>
    <row r="10" spans="1:9" ht="15" thickBot="1" x14ac:dyDescent="0.35">
      <c r="A10" s="177"/>
      <c r="B10" s="62" t="s">
        <v>88</v>
      </c>
      <c r="C10" s="63">
        <f>+C9/C8</f>
        <v>1</v>
      </c>
      <c r="D10" s="63">
        <f t="shared" ref="D10:H10" si="3">+D9/D8</f>
        <v>1</v>
      </c>
      <c r="E10" s="63">
        <f t="shared" si="3"/>
        <v>1</v>
      </c>
      <c r="F10" s="63">
        <f t="shared" si="3"/>
        <v>1</v>
      </c>
      <c r="G10" s="63">
        <f t="shared" si="3"/>
        <v>1</v>
      </c>
      <c r="H10" s="63">
        <f t="shared" si="3"/>
        <v>1</v>
      </c>
      <c r="I10" s="64">
        <f>AVERAGE(C10:G10)</f>
        <v>1</v>
      </c>
    </row>
    <row r="11" spans="1:9" ht="15" thickBot="1" x14ac:dyDescent="0.35">
      <c r="A11" s="166" t="s">
        <v>26</v>
      </c>
      <c r="B11" s="60" t="s">
        <v>85</v>
      </c>
      <c r="C11" s="65">
        <f>CON!D11</f>
        <v>4</v>
      </c>
      <c r="D11" s="65">
        <f>PLA!D11</f>
        <v>5</v>
      </c>
      <c r="E11" s="65">
        <f>ROB!D11</f>
        <v>3</v>
      </c>
      <c r="F11" s="65">
        <f>FUE!D11</f>
        <v>3</v>
      </c>
      <c r="G11" s="65">
        <f>ANG!D11</f>
        <v>4</v>
      </c>
      <c r="H11" s="65">
        <f>AERO!E11</f>
        <v>3</v>
      </c>
      <c r="I11" s="59">
        <f>SUM(C11:H11)</f>
        <v>22</v>
      </c>
    </row>
    <row r="12" spans="1:9" ht="15" thickBot="1" x14ac:dyDescent="0.35">
      <c r="A12" s="167"/>
      <c r="B12" s="60" t="s">
        <v>86</v>
      </c>
      <c r="C12" s="65">
        <f>CON!E11</f>
        <v>4</v>
      </c>
      <c r="D12" s="66">
        <f>PLA!E11</f>
        <v>5</v>
      </c>
      <c r="E12" s="66">
        <f>ROB!E11</f>
        <v>3</v>
      </c>
      <c r="F12" s="66">
        <f>FUE!E11</f>
        <v>3</v>
      </c>
      <c r="G12" s="66">
        <f>ANG!E11</f>
        <v>4</v>
      </c>
      <c r="H12" s="66">
        <f>AERO!F11</f>
        <v>3</v>
      </c>
      <c r="I12" s="59">
        <f t="shared" ref="I12:I13" si="4">SUM(C12:H12)</f>
        <v>22</v>
      </c>
    </row>
    <row r="13" spans="1:9" x14ac:dyDescent="0.3">
      <c r="A13" s="167"/>
      <c r="B13" s="60" t="s">
        <v>87</v>
      </c>
      <c r="C13" s="65">
        <f>CON!F11</f>
        <v>4</v>
      </c>
      <c r="D13" s="61">
        <f>PLA!F11</f>
        <v>5</v>
      </c>
      <c r="E13" s="61">
        <f>ROB!F11</f>
        <v>3</v>
      </c>
      <c r="F13" s="61">
        <f>FUE!F11</f>
        <v>3</v>
      </c>
      <c r="G13" s="61">
        <f>ANG!F11</f>
        <v>4</v>
      </c>
      <c r="H13" s="87">
        <f>AERO!F11</f>
        <v>3</v>
      </c>
      <c r="I13" s="59">
        <f t="shared" si="4"/>
        <v>22</v>
      </c>
    </row>
    <row r="14" spans="1:9" ht="15" thickBot="1" x14ac:dyDescent="0.35">
      <c r="A14" s="168"/>
      <c r="B14" s="62" t="s">
        <v>88</v>
      </c>
      <c r="C14" s="63">
        <f>+C13/C12</f>
        <v>1</v>
      </c>
      <c r="D14" s="63">
        <f t="shared" ref="D14:H14" si="5">+D13/D12</f>
        <v>1</v>
      </c>
      <c r="E14" s="63">
        <f t="shared" si="5"/>
        <v>1</v>
      </c>
      <c r="F14" s="63">
        <f t="shared" si="5"/>
        <v>1</v>
      </c>
      <c r="G14" s="63">
        <f t="shared" si="5"/>
        <v>1</v>
      </c>
      <c r="H14" s="63">
        <f t="shared" si="5"/>
        <v>1</v>
      </c>
      <c r="I14" s="64">
        <f>AVERAGE(C14:G14)</f>
        <v>1</v>
      </c>
    </row>
    <row r="15" spans="1:9" x14ac:dyDescent="0.3">
      <c r="A15" s="178" t="s">
        <v>25</v>
      </c>
      <c r="B15" s="60" t="s">
        <v>85</v>
      </c>
      <c r="C15" s="65">
        <f>CON!D12</f>
        <v>4</v>
      </c>
      <c r="D15" s="65">
        <f>PLA!D12</f>
        <v>5</v>
      </c>
      <c r="E15" s="65">
        <f>ROB!D12</f>
        <v>3</v>
      </c>
      <c r="F15" s="65">
        <f>FUE!D12</f>
        <v>3</v>
      </c>
      <c r="G15" s="65">
        <f>ANG!D12</f>
        <v>4</v>
      </c>
      <c r="H15" s="65">
        <f>AERO!E12</f>
        <v>3</v>
      </c>
      <c r="I15" s="59">
        <f>SUM(C15:H15)</f>
        <v>22</v>
      </c>
    </row>
    <row r="16" spans="1:9" x14ac:dyDescent="0.3">
      <c r="A16" s="176"/>
      <c r="B16" s="60" t="s">
        <v>86</v>
      </c>
      <c r="C16" s="66">
        <f>CON!E12</f>
        <v>4</v>
      </c>
      <c r="D16" s="66">
        <f>PLA!E12</f>
        <v>5</v>
      </c>
      <c r="E16" s="66">
        <f>ROB!E12</f>
        <v>3</v>
      </c>
      <c r="F16" s="66">
        <f>FUE!E12</f>
        <v>3</v>
      </c>
      <c r="G16" s="66">
        <f>ANG!E12</f>
        <v>4</v>
      </c>
      <c r="H16" s="66">
        <f>AERO!F12</f>
        <v>3</v>
      </c>
      <c r="I16" s="59">
        <f t="shared" ref="I16:I17" si="6">SUM(C16:H16)</f>
        <v>22</v>
      </c>
    </row>
    <row r="17" spans="1:9" x14ac:dyDescent="0.3">
      <c r="A17" s="176"/>
      <c r="B17" s="60" t="s">
        <v>87</v>
      </c>
      <c r="C17" s="61">
        <f>CON!F12</f>
        <v>4</v>
      </c>
      <c r="D17" s="61">
        <f>PLA!F12</f>
        <v>5</v>
      </c>
      <c r="E17" s="61">
        <f>ROB!F12</f>
        <v>3</v>
      </c>
      <c r="F17" s="61">
        <f>FUE!F12</f>
        <v>3</v>
      </c>
      <c r="G17" s="61">
        <f>ANG!F12</f>
        <v>4</v>
      </c>
      <c r="H17" s="61">
        <f>AERO!F12</f>
        <v>3</v>
      </c>
      <c r="I17" s="59">
        <f t="shared" si="6"/>
        <v>22</v>
      </c>
    </row>
    <row r="18" spans="1:9" ht="15" thickBot="1" x14ac:dyDescent="0.35">
      <c r="A18" s="177"/>
      <c r="B18" s="62" t="s">
        <v>88</v>
      </c>
      <c r="C18" s="63">
        <f>+C17/C16</f>
        <v>1</v>
      </c>
      <c r="D18" s="63">
        <f t="shared" ref="D18:H18" si="7">+D17/D16</f>
        <v>1</v>
      </c>
      <c r="E18" s="63">
        <f t="shared" si="7"/>
        <v>1</v>
      </c>
      <c r="F18" s="63">
        <f t="shared" si="7"/>
        <v>1</v>
      </c>
      <c r="G18" s="63">
        <f t="shared" si="7"/>
        <v>1</v>
      </c>
      <c r="H18" s="63">
        <f t="shared" si="7"/>
        <v>1</v>
      </c>
      <c r="I18" s="64">
        <f>AVERAGE(C18:G18)</f>
        <v>1</v>
      </c>
    </row>
    <row r="19" spans="1:9" x14ac:dyDescent="0.3">
      <c r="A19" s="178" t="s">
        <v>17</v>
      </c>
      <c r="B19" s="60" t="s">
        <v>85</v>
      </c>
      <c r="C19" s="65">
        <f>CON!D13</f>
        <v>4</v>
      </c>
      <c r="D19" s="65">
        <f>PLA!D13</f>
        <v>5</v>
      </c>
      <c r="E19" s="65">
        <f>ROB!D13</f>
        <v>3</v>
      </c>
      <c r="F19" s="65">
        <f>FUE!D13</f>
        <v>3</v>
      </c>
      <c r="G19" s="65">
        <f>ANG!D13</f>
        <v>4</v>
      </c>
      <c r="H19" s="65">
        <f>AERO!E13</f>
        <v>3</v>
      </c>
      <c r="I19" s="59">
        <f>SUM(C19:H19)</f>
        <v>22</v>
      </c>
    </row>
    <row r="20" spans="1:9" x14ac:dyDescent="0.3">
      <c r="A20" s="176"/>
      <c r="B20" s="60" t="s">
        <v>86</v>
      </c>
      <c r="C20" s="58">
        <f>CON!E13</f>
        <v>4</v>
      </c>
      <c r="D20" s="58">
        <f>PLA!E13</f>
        <v>5</v>
      </c>
      <c r="E20" s="58">
        <f>ROB!E13</f>
        <v>3</v>
      </c>
      <c r="F20" s="58">
        <f>FUE!E13</f>
        <v>3</v>
      </c>
      <c r="G20" s="58">
        <f>ANG!E13</f>
        <v>4</v>
      </c>
      <c r="H20" s="58">
        <f>AERO!F13</f>
        <v>3</v>
      </c>
      <c r="I20" s="59">
        <f t="shared" ref="I20:I21" si="8">SUM(C20:H20)</f>
        <v>22</v>
      </c>
    </row>
    <row r="21" spans="1:9" x14ac:dyDescent="0.3">
      <c r="A21" s="176"/>
      <c r="B21" s="60" t="s">
        <v>87</v>
      </c>
      <c r="C21" s="61">
        <f>CON!F13</f>
        <v>4</v>
      </c>
      <c r="D21" s="61">
        <f>PLA!F13</f>
        <v>5</v>
      </c>
      <c r="E21" s="61">
        <f>ROB!F13</f>
        <v>3</v>
      </c>
      <c r="F21" s="61">
        <f>FUE!F13</f>
        <v>3</v>
      </c>
      <c r="G21" s="61">
        <f>ANG!F13</f>
        <v>4</v>
      </c>
      <c r="H21" s="61">
        <f>AERO!F13</f>
        <v>3</v>
      </c>
      <c r="I21" s="59">
        <f t="shared" si="8"/>
        <v>22</v>
      </c>
    </row>
    <row r="22" spans="1:9" ht="15" thickBot="1" x14ac:dyDescent="0.35">
      <c r="A22" s="177"/>
      <c r="B22" s="62" t="s">
        <v>88</v>
      </c>
      <c r="C22" s="63">
        <f>+C21/C20</f>
        <v>1</v>
      </c>
      <c r="D22" s="63">
        <f t="shared" ref="D22:H22" si="9">+D21/D20</f>
        <v>1</v>
      </c>
      <c r="E22" s="63">
        <f t="shared" si="9"/>
        <v>1</v>
      </c>
      <c r="F22" s="63">
        <f t="shared" si="9"/>
        <v>1</v>
      </c>
      <c r="G22" s="63">
        <f t="shared" si="9"/>
        <v>1</v>
      </c>
      <c r="H22" s="63">
        <f t="shared" si="9"/>
        <v>1</v>
      </c>
      <c r="I22" s="64">
        <f>AVERAGE(C22:G22)</f>
        <v>1</v>
      </c>
    </row>
    <row r="23" spans="1:9" x14ac:dyDescent="0.3">
      <c r="A23" s="179" t="s">
        <v>49</v>
      </c>
      <c r="B23" s="60" t="s">
        <v>85</v>
      </c>
      <c r="C23" s="65">
        <f>CON!D14</f>
        <v>1</v>
      </c>
      <c r="D23" s="65">
        <f>PLA!D14</f>
        <v>1</v>
      </c>
      <c r="E23" s="65">
        <f>ROB!D14</f>
        <v>1</v>
      </c>
      <c r="F23" s="65">
        <f>FUE!D14</f>
        <v>1</v>
      </c>
      <c r="G23" s="65">
        <f>ANG!D14</f>
        <v>1</v>
      </c>
      <c r="H23" s="65">
        <f>AERO!E14</f>
        <v>1</v>
      </c>
      <c r="I23" s="59">
        <f>SUM(C23:H23)</f>
        <v>6</v>
      </c>
    </row>
    <row r="24" spans="1:9" x14ac:dyDescent="0.3">
      <c r="A24" s="180"/>
      <c r="B24" s="60" t="s">
        <v>86</v>
      </c>
      <c r="C24" s="58">
        <f>CON!E14</f>
        <v>1</v>
      </c>
      <c r="D24" s="58">
        <f>PLA!E14</f>
        <v>1</v>
      </c>
      <c r="E24" s="58">
        <f>ROB!E14</f>
        <v>1</v>
      </c>
      <c r="F24" s="58">
        <f>FUE!E14</f>
        <v>1</v>
      </c>
      <c r="G24" s="58">
        <f>ANG!E14</f>
        <v>1</v>
      </c>
      <c r="H24" s="58">
        <f>AERO!F14</f>
        <v>1</v>
      </c>
      <c r="I24" s="59">
        <f t="shared" ref="I24:I25" si="10">SUM(C24:H24)</f>
        <v>6</v>
      </c>
    </row>
    <row r="25" spans="1:9" x14ac:dyDescent="0.3">
      <c r="A25" s="180"/>
      <c r="B25" s="60" t="s">
        <v>87</v>
      </c>
      <c r="C25" s="61">
        <f>CON!F14</f>
        <v>1</v>
      </c>
      <c r="D25" s="61">
        <f>PLA!F14</f>
        <v>1</v>
      </c>
      <c r="E25" s="61">
        <f>ROB!F14</f>
        <v>1</v>
      </c>
      <c r="F25" s="61">
        <f>FUE!F14</f>
        <v>1</v>
      </c>
      <c r="G25" s="61">
        <f>ANG!F14</f>
        <v>1</v>
      </c>
      <c r="H25" s="61">
        <f>AERO!F14</f>
        <v>1</v>
      </c>
      <c r="I25" s="59">
        <f t="shared" si="10"/>
        <v>6</v>
      </c>
    </row>
    <row r="26" spans="1:9" ht="15" thickBot="1" x14ac:dyDescent="0.35">
      <c r="A26" s="181"/>
      <c r="B26" s="62" t="s">
        <v>88</v>
      </c>
      <c r="C26" s="63">
        <f>+C25/C24</f>
        <v>1</v>
      </c>
      <c r="D26" s="63">
        <f t="shared" ref="D26:H26" si="11">+D25/D24</f>
        <v>1</v>
      </c>
      <c r="E26" s="63">
        <f t="shared" si="11"/>
        <v>1</v>
      </c>
      <c r="F26" s="63">
        <f t="shared" si="11"/>
        <v>1</v>
      </c>
      <c r="G26" s="63">
        <f t="shared" si="11"/>
        <v>1</v>
      </c>
      <c r="H26" s="63">
        <f t="shared" si="11"/>
        <v>1</v>
      </c>
      <c r="I26" s="64">
        <f>AVERAGE(C26:G26)</f>
        <v>1</v>
      </c>
    </row>
    <row r="27" spans="1:9" x14ac:dyDescent="0.3">
      <c r="A27" s="179" t="s">
        <v>19</v>
      </c>
      <c r="B27" s="60" t="s">
        <v>85</v>
      </c>
      <c r="C27" s="65">
        <f>CON!D15</f>
        <v>3</v>
      </c>
      <c r="D27" s="65">
        <f>PLA!D15</f>
        <v>4</v>
      </c>
      <c r="E27" s="65">
        <f>ROB!D15</f>
        <v>3</v>
      </c>
      <c r="F27" s="65">
        <f>FUE!D15</f>
        <v>2</v>
      </c>
      <c r="G27" s="65">
        <f>ANG!D15</f>
        <v>3</v>
      </c>
      <c r="H27" s="65">
        <f>AERO!D15</f>
        <v>2</v>
      </c>
      <c r="I27" s="59">
        <f>SUM(C27:H27)</f>
        <v>17</v>
      </c>
    </row>
    <row r="28" spans="1:9" x14ac:dyDescent="0.3">
      <c r="A28" s="180"/>
      <c r="B28" s="60" t="s">
        <v>86</v>
      </c>
      <c r="C28" s="58">
        <f>CON!E15</f>
        <v>3</v>
      </c>
      <c r="D28" s="58">
        <f>PLA!E15</f>
        <v>4</v>
      </c>
      <c r="E28" s="58">
        <f>ROB!E15</f>
        <v>3</v>
      </c>
      <c r="F28" s="58">
        <f>FUE!E15</f>
        <v>2</v>
      </c>
      <c r="G28" s="58">
        <f>ANG!E15</f>
        <v>3</v>
      </c>
      <c r="H28" s="58">
        <f>AERO!E15</f>
        <v>2</v>
      </c>
      <c r="I28" s="59">
        <f t="shared" ref="I28:I29" si="12">SUM(C28:H28)</f>
        <v>17</v>
      </c>
    </row>
    <row r="29" spans="1:9" x14ac:dyDescent="0.3">
      <c r="A29" s="180"/>
      <c r="B29" s="60" t="s">
        <v>87</v>
      </c>
      <c r="C29" s="61">
        <f>CON!F15</f>
        <v>3</v>
      </c>
      <c r="D29" s="61">
        <f>PLA!F15</f>
        <v>4</v>
      </c>
      <c r="E29" s="61">
        <f>ROB!F15</f>
        <v>3</v>
      </c>
      <c r="F29" s="61">
        <f>FUE!F15</f>
        <v>2</v>
      </c>
      <c r="G29" s="61">
        <f>ANG!F15</f>
        <v>3</v>
      </c>
      <c r="H29" s="61">
        <f>AERO!F15</f>
        <v>2</v>
      </c>
      <c r="I29" s="59">
        <f t="shared" si="12"/>
        <v>17</v>
      </c>
    </row>
    <row r="30" spans="1:9" ht="15" thickBot="1" x14ac:dyDescent="0.35">
      <c r="A30" s="181"/>
      <c r="B30" s="62" t="s">
        <v>88</v>
      </c>
      <c r="C30" s="63">
        <f>+C29/C28</f>
        <v>1</v>
      </c>
      <c r="D30" s="63">
        <f t="shared" ref="D30:F30" si="13">+D29/D28</f>
        <v>1</v>
      </c>
      <c r="E30" s="63">
        <f t="shared" si="13"/>
        <v>1</v>
      </c>
      <c r="F30" s="63">
        <f t="shared" si="13"/>
        <v>1</v>
      </c>
      <c r="G30" s="63">
        <f>+G29/G27</f>
        <v>1</v>
      </c>
      <c r="H30" s="63">
        <f>+H29/H27</f>
        <v>1</v>
      </c>
      <c r="I30" s="64">
        <f>AVERAGE(C30:G30)</f>
        <v>1</v>
      </c>
    </row>
    <row r="31" spans="1:9" x14ac:dyDescent="0.3">
      <c r="A31" s="166" t="s">
        <v>16</v>
      </c>
      <c r="B31" s="60" t="s">
        <v>85</v>
      </c>
      <c r="C31" s="65">
        <f>CON!D23</f>
        <v>1</v>
      </c>
      <c r="D31" s="65">
        <f>PLA!D23</f>
        <v>2</v>
      </c>
      <c r="E31" s="65">
        <f>ROB!D23</f>
        <v>1</v>
      </c>
      <c r="F31" s="65">
        <f>FUE!D23</f>
        <v>1</v>
      </c>
      <c r="G31" s="65">
        <f>ANG!D23</f>
        <v>1</v>
      </c>
      <c r="H31" s="65">
        <f>AERO!D23</f>
        <v>1</v>
      </c>
      <c r="I31" s="59">
        <f>SUM(C31:H31)</f>
        <v>7</v>
      </c>
    </row>
    <row r="32" spans="1:9" x14ac:dyDescent="0.3">
      <c r="A32" s="167"/>
      <c r="B32" s="60" t="s">
        <v>86</v>
      </c>
      <c r="C32" s="58">
        <f>CON!E23</f>
        <v>1</v>
      </c>
      <c r="D32" s="58">
        <f>PLA!E23</f>
        <v>2</v>
      </c>
      <c r="E32" s="58">
        <f>ROB!E23</f>
        <v>1</v>
      </c>
      <c r="F32" s="58">
        <f>FUE!E23</f>
        <v>1</v>
      </c>
      <c r="G32" s="58">
        <f>ANG!E23</f>
        <v>1</v>
      </c>
      <c r="H32" s="58">
        <f>AERO!E23</f>
        <v>1</v>
      </c>
      <c r="I32" s="59">
        <f t="shared" ref="I32:I33" si="14">SUM(C32:H32)</f>
        <v>7</v>
      </c>
    </row>
    <row r="33" spans="1:9" x14ac:dyDescent="0.3">
      <c r="A33" s="167"/>
      <c r="B33" s="60" t="s">
        <v>87</v>
      </c>
      <c r="C33" s="61">
        <f>CON!F23</f>
        <v>1</v>
      </c>
      <c r="D33" s="61">
        <f>PLA!F23</f>
        <v>2</v>
      </c>
      <c r="E33" s="61">
        <f>ROB!F23</f>
        <v>1</v>
      </c>
      <c r="F33" s="61">
        <f>FUE!F23</f>
        <v>1</v>
      </c>
      <c r="G33" s="61">
        <f>ANG!F23</f>
        <v>1</v>
      </c>
      <c r="H33" s="61">
        <f>AERO!F23</f>
        <v>1</v>
      </c>
      <c r="I33" s="59">
        <f t="shared" si="14"/>
        <v>7</v>
      </c>
    </row>
    <row r="34" spans="1:9" ht="15" thickBot="1" x14ac:dyDescent="0.35">
      <c r="A34" s="168"/>
      <c r="B34" s="62" t="s">
        <v>88</v>
      </c>
      <c r="C34" s="63">
        <f>+C33/C32</f>
        <v>1</v>
      </c>
      <c r="D34" s="63">
        <f t="shared" ref="D34:I34" si="15">+D33/D32</f>
        <v>1</v>
      </c>
      <c r="E34" s="63">
        <f t="shared" si="15"/>
        <v>1</v>
      </c>
      <c r="F34" s="63">
        <f t="shared" si="15"/>
        <v>1</v>
      </c>
      <c r="G34" s="63">
        <f t="shared" si="15"/>
        <v>1</v>
      </c>
      <c r="H34" s="63">
        <f t="shared" si="15"/>
        <v>1</v>
      </c>
      <c r="I34" s="64">
        <f t="shared" si="15"/>
        <v>1</v>
      </c>
    </row>
    <row r="35" spans="1:9" x14ac:dyDescent="0.3">
      <c r="A35" s="166" t="s">
        <v>15</v>
      </c>
      <c r="B35" s="60" t="s">
        <v>85</v>
      </c>
      <c r="C35" s="65">
        <f>CON!D24</f>
        <v>1</v>
      </c>
      <c r="D35" s="65">
        <f>PLA!D24</f>
        <v>2</v>
      </c>
      <c r="E35" s="65">
        <f>ROB!D24</f>
        <v>1</v>
      </c>
      <c r="F35" s="65">
        <f>FUE!D24</f>
        <v>1</v>
      </c>
      <c r="G35" s="65">
        <f>ANG!D24</f>
        <v>1</v>
      </c>
      <c r="H35" s="65">
        <f>AERO!D24</f>
        <v>1</v>
      </c>
      <c r="I35" s="59">
        <f>SUM(C35:H35)</f>
        <v>7</v>
      </c>
    </row>
    <row r="36" spans="1:9" x14ac:dyDescent="0.3">
      <c r="A36" s="167"/>
      <c r="B36" s="60" t="s">
        <v>86</v>
      </c>
      <c r="C36" s="58">
        <f>CON!E24</f>
        <v>1</v>
      </c>
      <c r="D36" s="58">
        <f>PLA!E24</f>
        <v>2</v>
      </c>
      <c r="E36" s="58">
        <f>ROB!E24</f>
        <v>1</v>
      </c>
      <c r="F36" s="58">
        <f>FUE!E24</f>
        <v>1</v>
      </c>
      <c r="G36" s="58">
        <f>ANG!E24</f>
        <v>1</v>
      </c>
      <c r="H36" s="58">
        <f>AERO!E24</f>
        <v>1</v>
      </c>
      <c r="I36" s="59">
        <f t="shared" ref="I36:I37" si="16">SUM(C36:H36)</f>
        <v>7</v>
      </c>
    </row>
    <row r="37" spans="1:9" x14ac:dyDescent="0.3">
      <c r="A37" s="167"/>
      <c r="B37" s="60" t="s">
        <v>87</v>
      </c>
      <c r="C37" s="61">
        <f>CON!F24</f>
        <v>1</v>
      </c>
      <c r="D37" s="61">
        <f>PLA!F24</f>
        <v>2</v>
      </c>
      <c r="E37" s="61">
        <f>ROB!F24</f>
        <v>1</v>
      </c>
      <c r="F37" s="61">
        <f>FUE!F24</f>
        <v>1</v>
      </c>
      <c r="G37" s="61">
        <f>ANG!F24</f>
        <v>1</v>
      </c>
      <c r="H37" s="61">
        <f>AERO!F24</f>
        <v>1</v>
      </c>
      <c r="I37" s="59">
        <f t="shared" si="16"/>
        <v>7</v>
      </c>
    </row>
    <row r="38" spans="1:9" ht="15" thickBot="1" x14ac:dyDescent="0.35">
      <c r="A38" s="168"/>
      <c r="B38" s="62" t="s">
        <v>88</v>
      </c>
      <c r="C38" s="63">
        <f>+C37/C36</f>
        <v>1</v>
      </c>
      <c r="D38" s="63">
        <f t="shared" ref="D38:H38" si="17">+D37/D36</f>
        <v>1</v>
      </c>
      <c r="E38" s="63">
        <f t="shared" si="17"/>
        <v>1</v>
      </c>
      <c r="F38" s="63">
        <f t="shared" si="17"/>
        <v>1</v>
      </c>
      <c r="G38" s="63">
        <f t="shared" si="17"/>
        <v>1</v>
      </c>
      <c r="H38" s="63">
        <f t="shared" si="17"/>
        <v>1</v>
      </c>
      <c r="I38" s="64">
        <f>AVERAGE(C38:G38)</f>
        <v>1</v>
      </c>
    </row>
    <row r="39" spans="1:9" x14ac:dyDescent="0.3">
      <c r="A39" s="166" t="s">
        <v>8</v>
      </c>
      <c r="B39" s="60" t="s">
        <v>85</v>
      </c>
      <c r="C39" s="65">
        <f>CON!D25</f>
        <v>4</v>
      </c>
      <c r="D39" s="65">
        <f>PLA!D25</f>
        <v>6</v>
      </c>
      <c r="E39" s="65">
        <f>ROB!D25</f>
        <v>3</v>
      </c>
      <c r="F39" s="65">
        <f>FUE!D25</f>
        <v>3</v>
      </c>
      <c r="G39" s="65">
        <f>ANG!D25</f>
        <v>4</v>
      </c>
      <c r="H39" s="65">
        <f>AERO!D25</f>
        <v>4</v>
      </c>
      <c r="I39" s="59">
        <f>SUM(C39:H39)</f>
        <v>24</v>
      </c>
    </row>
    <row r="40" spans="1:9" x14ac:dyDescent="0.3">
      <c r="A40" s="167"/>
      <c r="B40" s="60" t="s">
        <v>86</v>
      </c>
      <c r="C40" s="58">
        <f>CON!E25</f>
        <v>4</v>
      </c>
      <c r="D40" s="58">
        <f>PLA!E25</f>
        <v>6</v>
      </c>
      <c r="E40" s="58">
        <f>ROB!E25</f>
        <v>3</v>
      </c>
      <c r="F40" s="58">
        <f>FUE!E25</f>
        <v>3</v>
      </c>
      <c r="G40" s="58">
        <f>ANG!E25</f>
        <v>4</v>
      </c>
      <c r="H40" s="58">
        <f>AERO!F25</f>
        <v>4</v>
      </c>
      <c r="I40" s="59">
        <f t="shared" ref="I40:I41" si="18">SUM(C40:H40)</f>
        <v>24</v>
      </c>
    </row>
    <row r="41" spans="1:9" x14ac:dyDescent="0.3">
      <c r="A41" s="167"/>
      <c r="B41" s="60" t="s">
        <v>87</v>
      </c>
      <c r="C41" s="61">
        <f>CON!F25</f>
        <v>4</v>
      </c>
      <c r="D41" s="61">
        <f>PLA!F25</f>
        <v>6</v>
      </c>
      <c r="E41" s="61">
        <f>ROB!F25</f>
        <v>3</v>
      </c>
      <c r="F41" s="61">
        <f>FUE!F25</f>
        <v>3</v>
      </c>
      <c r="G41" s="61">
        <f>ANG!F25</f>
        <v>4</v>
      </c>
      <c r="H41" s="61">
        <f>AERO!F25</f>
        <v>4</v>
      </c>
      <c r="I41" s="59">
        <f t="shared" si="18"/>
        <v>24</v>
      </c>
    </row>
    <row r="42" spans="1:9" ht="15" thickBot="1" x14ac:dyDescent="0.35">
      <c r="A42" s="168"/>
      <c r="B42" s="62" t="s">
        <v>88</v>
      </c>
      <c r="C42" s="63">
        <f>+C41/C40</f>
        <v>1</v>
      </c>
      <c r="D42" s="63">
        <f t="shared" ref="D42:H42" si="19">+D41/D40</f>
        <v>1</v>
      </c>
      <c r="E42" s="63">
        <f t="shared" si="19"/>
        <v>1</v>
      </c>
      <c r="F42" s="63">
        <f t="shared" si="19"/>
        <v>1</v>
      </c>
      <c r="G42" s="63">
        <f t="shared" si="19"/>
        <v>1</v>
      </c>
      <c r="H42" s="63">
        <f t="shared" si="19"/>
        <v>1</v>
      </c>
      <c r="I42" s="64">
        <f>AVERAGE(C42:G42)</f>
        <v>1</v>
      </c>
    </row>
    <row r="43" spans="1:9" x14ac:dyDescent="0.3">
      <c r="A43" s="182" t="s">
        <v>96</v>
      </c>
      <c r="B43" s="60" t="s">
        <v>85</v>
      </c>
      <c r="C43" s="65">
        <f>CON!D26</f>
        <v>1</v>
      </c>
      <c r="D43" s="65">
        <f>PLA!D26</f>
        <v>1</v>
      </c>
      <c r="E43" s="65">
        <f>ROB!D26</f>
        <v>1</v>
      </c>
      <c r="F43" s="65">
        <f>FUE!D26</f>
        <v>1</v>
      </c>
      <c r="G43" s="65">
        <f>ANG!D26</f>
        <v>1</v>
      </c>
      <c r="H43" s="65">
        <f>AERO!D26</f>
        <v>1</v>
      </c>
      <c r="I43" s="59">
        <f>SUM(C43:G43)</f>
        <v>5</v>
      </c>
    </row>
    <row r="44" spans="1:9" x14ac:dyDescent="0.3">
      <c r="A44" s="183"/>
      <c r="B44" s="60" t="s">
        <v>86</v>
      </c>
      <c r="C44" s="58">
        <f>CON!E26</f>
        <v>1</v>
      </c>
      <c r="D44" s="58">
        <f>PLA!E26</f>
        <v>1</v>
      </c>
      <c r="E44" s="58">
        <f>ROB!E26</f>
        <v>1</v>
      </c>
      <c r="F44" s="58">
        <f>FUE!E26</f>
        <v>1</v>
      </c>
      <c r="G44" s="58">
        <f>ANG!E26</f>
        <v>1</v>
      </c>
      <c r="H44" s="58">
        <f>AERO!E26</f>
        <v>1</v>
      </c>
      <c r="I44" s="59">
        <f>SUM(C44:G44)</f>
        <v>5</v>
      </c>
    </row>
    <row r="45" spans="1:9" x14ac:dyDescent="0.3">
      <c r="A45" s="183"/>
      <c r="B45" s="60" t="s">
        <v>87</v>
      </c>
      <c r="C45" s="61">
        <f>CON!F26</f>
        <v>1</v>
      </c>
      <c r="D45" s="61">
        <f>PLA!F26</f>
        <v>1</v>
      </c>
      <c r="E45" s="61">
        <f>ROB!F26</f>
        <v>1</v>
      </c>
      <c r="F45" s="61">
        <f>FUE!F26</f>
        <v>1</v>
      </c>
      <c r="G45" s="61">
        <f>ANG!F26</f>
        <v>1</v>
      </c>
      <c r="H45" s="61">
        <f>AERO!F26</f>
        <v>1</v>
      </c>
      <c r="I45" s="59">
        <f>SUM(C45:G45)</f>
        <v>5</v>
      </c>
    </row>
    <row r="46" spans="1:9" ht="15" thickBot="1" x14ac:dyDescent="0.35">
      <c r="A46" s="184"/>
      <c r="B46" s="62" t="s">
        <v>88</v>
      </c>
      <c r="C46" s="63">
        <f>+C45/C44</f>
        <v>1</v>
      </c>
      <c r="D46" s="63">
        <f t="shared" ref="D46:H46" si="20">+D45/D44</f>
        <v>1</v>
      </c>
      <c r="E46" s="63">
        <f t="shared" si="20"/>
        <v>1</v>
      </c>
      <c r="F46" s="63">
        <f t="shared" si="20"/>
        <v>1</v>
      </c>
      <c r="G46" s="63">
        <f t="shared" si="20"/>
        <v>1</v>
      </c>
      <c r="H46" s="63">
        <f t="shared" si="20"/>
        <v>1</v>
      </c>
      <c r="I46" s="64">
        <f>AVERAGE(C46:H46)</f>
        <v>1</v>
      </c>
    </row>
    <row r="47" spans="1:9" x14ac:dyDescent="0.3">
      <c r="A47" s="166" t="s">
        <v>89</v>
      </c>
      <c r="B47" s="60" t="s">
        <v>85</v>
      </c>
      <c r="C47" s="65">
        <f>CON!D27</f>
        <v>1</v>
      </c>
      <c r="D47" s="65">
        <f>PLA!D27</f>
        <v>1</v>
      </c>
      <c r="E47" s="65">
        <f>ROB!D27</f>
        <v>1</v>
      </c>
      <c r="F47" s="65">
        <f>FUE!D27</f>
        <v>1</v>
      </c>
      <c r="G47" s="58">
        <f>ANG!D27</f>
        <v>1</v>
      </c>
      <c r="H47" s="58">
        <f>ANG!D27</f>
        <v>1</v>
      </c>
      <c r="I47" s="67">
        <f>SUM(C47:H47)</f>
        <v>6</v>
      </c>
    </row>
    <row r="48" spans="1:9" x14ac:dyDescent="0.3">
      <c r="A48" s="167"/>
      <c r="B48" s="60" t="s">
        <v>86</v>
      </c>
      <c r="C48" s="58">
        <f>CON!E27</f>
        <v>1</v>
      </c>
      <c r="D48" s="58">
        <f>PLA!E27</f>
        <v>1</v>
      </c>
      <c r="E48" s="58">
        <f>ROB!E27</f>
        <v>1</v>
      </c>
      <c r="F48" s="58">
        <f>FUE!E27</f>
        <v>1</v>
      </c>
      <c r="G48" s="61">
        <f>ANG!E27</f>
        <v>1</v>
      </c>
      <c r="H48" s="61">
        <f>ANG!E27</f>
        <v>1</v>
      </c>
      <c r="I48" s="67">
        <f t="shared" ref="I48:I49" si="21">SUM(C48:H48)</f>
        <v>6</v>
      </c>
    </row>
    <row r="49" spans="1:9" x14ac:dyDescent="0.3">
      <c r="A49" s="167"/>
      <c r="B49" s="60" t="s">
        <v>87</v>
      </c>
      <c r="C49" s="61">
        <f>CON!F27</f>
        <v>1</v>
      </c>
      <c r="D49" s="61">
        <f>PLA!F27</f>
        <v>1</v>
      </c>
      <c r="E49" s="61">
        <f>ROB!F27</f>
        <v>1</v>
      </c>
      <c r="F49" s="61">
        <f>FUE!F27</f>
        <v>1</v>
      </c>
      <c r="G49" s="61">
        <f>ANG!F27</f>
        <v>1</v>
      </c>
      <c r="H49" s="61">
        <f>ANG!F27</f>
        <v>1</v>
      </c>
      <c r="I49" s="67">
        <f t="shared" si="21"/>
        <v>6</v>
      </c>
    </row>
    <row r="50" spans="1:9" ht="15" thickBot="1" x14ac:dyDescent="0.35">
      <c r="A50" s="168"/>
      <c r="B50" s="62" t="s">
        <v>88</v>
      </c>
      <c r="C50" s="63">
        <f>+C49/C48</f>
        <v>1</v>
      </c>
      <c r="D50" s="63">
        <f t="shared" ref="D50:H50" si="22">+D49/D48</f>
        <v>1</v>
      </c>
      <c r="E50" s="63">
        <f t="shared" si="22"/>
        <v>1</v>
      </c>
      <c r="F50" s="63">
        <f t="shared" si="22"/>
        <v>1</v>
      </c>
      <c r="G50" s="63">
        <f t="shared" si="22"/>
        <v>1</v>
      </c>
      <c r="H50" s="63">
        <f t="shared" si="22"/>
        <v>1</v>
      </c>
      <c r="I50" s="64">
        <f>AVERAGE(C50:G50)</f>
        <v>1</v>
      </c>
    </row>
    <row r="51" spans="1:9" x14ac:dyDescent="0.3">
      <c r="A51" s="166" t="s">
        <v>50</v>
      </c>
      <c r="B51" s="60" t="s">
        <v>85</v>
      </c>
      <c r="C51" s="65">
        <f>CON!D28</f>
        <v>1</v>
      </c>
      <c r="D51" s="65">
        <f>PLA!D28</f>
        <v>1</v>
      </c>
      <c r="E51" s="65">
        <f>ROB!D28</f>
        <v>1</v>
      </c>
      <c r="F51" s="65">
        <f>FUE!D28</f>
        <v>1</v>
      </c>
      <c r="G51" s="65">
        <f>ANG!D28</f>
        <v>1</v>
      </c>
      <c r="H51" s="65">
        <f>AERO!D28</f>
        <v>1</v>
      </c>
      <c r="I51" s="59">
        <f>SUM(C51:H51)</f>
        <v>6</v>
      </c>
    </row>
    <row r="52" spans="1:9" x14ac:dyDescent="0.3">
      <c r="A52" s="167"/>
      <c r="B52" s="60" t="s">
        <v>86</v>
      </c>
      <c r="C52" s="58">
        <f>CON!E28</f>
        <v>1</v>
      </c>
      <c r="D52" s="58">
        <f>PLA!E28</f>
        <v>1</v>
      </c>
      <c r="E52" s="58">
        <f>ROB!E28</f>
        <v>1</v>
      </c>
      <c r="F52" s="58">
        <f>FUE!E28</f>
        <v>1</v>
      </c>
      <c r="G52" s="58">
        <f>ANG!E28</f>
        <v>1</v>
      </c>
      <c r="H52" s="58">
        <f>AERO!E28</f>
        <v>1</v>
      </c>
      <c r="I52" s="59">
        <f t="shared" ref="I52:I53" si="23">SUM(C52:H52)</f>
        <v>6</v>
      </c>
    </row>
    <row r="53" spans="1:9" x14ac:dyDescent="0.3">
      <c r="A53" s="167"/>
      <c r="B53" s="60" t="s">
        <v>87</v>
      </c>
      <c r="C53" s="61">
        <f>CON!F28</f>
        <v>1</v>
      </c>
      <c r="D53" s="61">
        <f>PLA!F28</f>
        <v>1</v>
      </c>
      <c r="E53" s="61">
        <f>ROB!F28</f>
        <v>1</v>
      </c>
      <c r="F53" s="61">
        <f>FUE!F28</f>
        <v>1</v>
      </c>
      <c r="G53" s="61">
        <f>ANG!F28</f>
        <v>1</v>
      </c>
      <c r="H53" s="61">
        <f>AERO!F28</f>
        <v>1</v>
      </c>
      <c r="I53" s="59">
        <f t="shared" si="23"/>
        <v>6</v>
      </c>
    </row>
    <row r="54" spans="1:9" ht="15" thickBot="1" x14ac:dyDescent="0.35">
      <c r="A54" s="168"/>
      <c r="B54" s="62" t="s">
        <v>88</v>
      </c>
      <c r="C54" s="68">
        <f>+C53/C52</f>
        <v>1</v>
      </c>
      <c r="D54" s="68">
        <f t="shared" ref="D54:H54" si="24">+D53/D52</f>
        <v>1</v>
      </c>
      <c r="E54" s="68">
        <f t="shared" si="24"/>
        <v>1</v>
      </c>
      <c r="F54" s="68">
        <f t="shared" si="24"/>
        <v>1</v>
      </c>
      <c r="G54" s="68">
        <f t="shared" si="24"/>
        <v>1</v>
      </c>
      <c r="H54" s="68">
        <f t="shared" si="24"/>
        <v>1</v>
      </c>
      <c r="I54" s="69">
        <f>AVERAGE(C54:G54)</f>
        <v>1</v>
      </c>
    </row>
    <row r="55" spans="1:9" ht="15" thickBot="1" x14ac:dyDescent="0.35">
      <c r="A55" s="166" t="s">
        <v>64</v>
      </c>
      <c r="B55" s="70" t="s">
        <v>85</v>
      </c>
      <c r="C55" s="65">
        <f>CON!D29</f>
        <v>3</v>
      </c>
      <c r="D55" s="65">
        <f>PLA!D29</f>
        <v>5</v>
      </c>
      <c r="E55" s="65">
        <f>ROB!D29</f>
        <v>3</v>
      </c>
      <c r="F55" s="65">
        <f>FUE!D29</f>
        <v>2</v>
      </c>
      <c r="G55" s="65">
        <f>ANG!D29</f>
        <v>3</v>
      </c>
      <c r="H55" s="65">
        <f>AERO!D29</f>
        <v>2</v>
      </c>
      <c r="I55" s="71">
        <f>SUM(C55:G55)</f>
        <v>16</v>
      </c>
    </row>
    <row r="56" spans="1:9" ht="15" thickBot="1" x14ac:dyDescent="0.35">
      <c r="A56" s="167"/>
      <c r="B56" s="72" t="s">
        <v>86</v>
      </c>
      <c r="C56" s="58">
        <f>CON!E29</f>
        <v>3</v>
      </c>
      <c r="D56" s="58">
        <f>PLA!E29</f>
        <v>5</v>
      </c>
      <c r="E56" s="58">
        <f>ROB!E29</f>
        <v>3</v>
      </c>
      <c r="F56" s="58">
        <f>FUE!E29</f>
        <v>2</v>
      </c>
      <c r="G56" s="58">
        <f>ANG!E29</f>
        <v>3</v>
      </c>
      <c r="H56" s="58">
        <f>AERO!E29</f>
        <v>2</v>
      </c>
      <c r="I56" s="71">
        <f>SUM(C56:G56)</f>
        <v>16</v>
      </c>
    </row>
    <row r="57" spans="1:9" x14ac:dyDescent="0.3">
      <c r="A57" s="167"/>
      <c r="B57" s="72" t="s">
        <v>87</v>
      </c>
      <c r="C57" s="61">
        <f>CON!F29</f>
        <v>3</v>
      </c>
      <c r="D57" s="61">
        <f>PLA!F29</f>
        <v>5</v>
      </c>
      <c r="E57" s="61">
        <f>ROB!F29</f>
        <v>3</v>
      </c>
      <c r="F57" s="61">
        <f>FUE!F29</f>
        <v>2</v>
      </c>
      <c r="G57" s="61">
        <f>ANG!F29</f>
        <v>3</v>
      </c>
      <c r="H57" s="61">
        <f>AERO!F29</f>
        <v>2</v>
      </c>
      <c r="I57" s="71">
        <f>SUM(C57:G57)</f>
        <v>16</v>
      </c>
    </row>
    <row r="58" spans="1:9" ht="15" thickBot="1" x14ac:dyDescent="0.35">
      <c r="A58" s="168"/>
      <c r="B58" s="62" t="s">
        <v>88</v>
      </c>
      <c r="C58" s="63">
        <f>+C57/C56</f>
        <v>1</v>
      </c>
      <c r="D58" s="63">
        <f t="shared" ref="D58:G58" si="25">+D57/D56</f>
        <v>1</v>
      </c>
      <c r="E58" s="63">
        <f t="shared" si="25"/>
        <v>1</v>
      </c>
      <c r="F58" s="63">
        <f t="shared" si="25"/>
        <v>1</v>
      </c>
      <c r="G58" s="63">
        <f t="shared" si="25"/>
        <v>1</v>
      </c>
      <c r="H58" s="63">
        <f>+H57/H55</f>
        <v>1</v>
      </c>
      <c r="I58" s="64">
        <f>AVERAGE(C58:H58)</f>
        <v>1</v>
      </c>
    </row>
    <row r="59" spans="1:9" ht="15" thickBot="1" x14ac:dyDescent="0.35">
      <c r="A59" s="185" t="s">
        <v>95</v>
      </c>
      <c r="B59" s="186"/>
      <c r="C59" s="73">
        <f>AVERAGE(C58,C54,C50,C46,C42,C38,C34,C30,C26,C22,C18,C14,C10,C6)</f>
        <v>1</v>
      </c>
      <c r="D59" s="73">
        <f t="shared" ref="D59:H59" si="26">AVERAGE(D58,D54,D50,D46,D42,D38,D34,D30,D26,D22,D18,D14,D10,D6)</f>
        <v>1</v>
      </c>
      <c r="E59" s="73">
        <f t="shared" si="26"/>
        <v>1</v>
      </c>
      <c r="F59" s="73">
        <f t="shared" si="26"/>
        <v>1</v>
      </c>
      <c r="G59" s="73">
        <f t="shared" si="26"/>
        <v>1</v>
      </c>
      <c r="H59" s="73">
        <f t="shared" si="26"/>
        <v>1</v>
      </c>
      <c r="I59" s="73">
        <f>AVERAGE(I58,I54,I50,I46,I42,I38,I34,I30,I26,I22,I18,I14,I10,I6)</f>
        <v>1</v>
      </c>
    </row>
  </sheetData>
  <mergeCells count="17">
    <mergeCell ref="A43:A46"/>
    <mergeCell ref="A47:A50"/>
    <mergeCell ref="A51:A54"/>
    <mergeCell ref="A55:A58"/>
    <mergeCell ref="A59:B59"/>
    <mergeCell ref="A39:A42"/>
    <mergeCell ref="A1:B2"/>
    <mergeCell ref="C1:I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2"/>
  <dimension ref="A1:E19"/>
  <sheetViews>
    <sheetView workbookViewId="0">
      <selection activeCell="E9" sqref="E9"/>
    </sheetView>
  </sheetViews>
  <sheetFormatPr baseColWidth="10" defaultRowHeight="14.4" x14ac:dyDescent="0.3"/>
  <cols>
    <col min="1" max="1" width="50" customWidth="1" collapsed="1"/>
  </cols>
  <sheetData>
    <row r="1" spans="1:5" x14ac:dyDescent="0.3">
      <c r="A1" s="2" t="s">
        <v>73</v>
      </c>
      <c r="B1" s="1"/>
      <c r="C1" s="1"/>
      <c r="D1" s="1"/>
      <c r="E1" s="1"/>
    </row>
    <row r="2" spans="1:5" x14ac:dyDescent="0.3">
      <c r="A2" s="51" t="s">
        <v>2</v>
      </c>
      <c r="B2" s="1"/>
      <c r="C2" s="1"/>
      <c r="D2" s="1"/>
      <c r="E2" s="1"/>
    </row>
    <row r="3" spans="1:5" x14ac:dyDescent="0.3">
      <c r="A3" s="51" t="s">
        <v>42</v>
      </c>
      <c r="B3" s="1"/>
      <c r="C3" s="1"/>
      <c r="D3" s="1"/>
      <c r="E3" s="1"/>
    </row>
    <row r="4" spans="1:5" x14ac:dyDescent="0.3">
      <c r="A4" s="51" t="s">
        <v>65</v>
      </c>
      <c r="B4" s="1"/>
      <c r="C4" s="1"/>
      <c r="D4" s="1"/>
      <c r="E4" s="1"/>
    </row>
    <row r="5" spans="1:5" x14ac:dyDescent="0.3">
      <c r="A5" s="51" t="s">
        <v>66</v>
      </c>
      <c r="B5" s="1"/>
      <c r="C5" s="1"/>
      <c r="D5" s="1"/>
      <c r="E5" s="1"/>
    </row>
    <row r="6" spans="1:5" x14ac:dyDescent="0.3">
      <c r="A6" s="51" t="s">
        <v>67</v>
      </c>
      <c r="B6" s="1"/>
      <c r="C6" s="1"/>
      <c r="D6" s="1"/>
      <c r="E6" s="1"/>
    </row>
    <row r="7" spans="1:5" x14ac:dyDescent="0.3">
      <c r="A7" s="51" t="s">
        <v>3</v>
      </c>
      <c r="B7" s="1"/>
      <c r="C7" s="1"/>
      <c r="D7" s="1"/>
      <c r="E7" s="1"/>
    </row>
    <row r="8" spans="1:5" x14ac:dyDescent="0.3">
      <c r="A8" s="51" t="s">
        <v>74</v>
      </c>
      <c r="B8" s="1"/>
      <c r="C8" s="1"/>
      <c r="D8" s="1"/>
      <c r="E8" s="1"/>
    </row>
    <row r="9" spans="1:5" x14ac:dyDescent="0.3">
      <c r="A9" s="51" t="s">
        <v>4</v>
      </c>
      <c r="B9" s="1"/>
      <c r="C9" s="1"/>
      <c r="D9" s="1"/>
      <c r="E9" s="1"/>
    </row>
    <row r="10" spans="1:5" x14ac:dyDescent="0.3">
      <c r="A10" s="1" t="s">
        <v>68</v>
      </c>
      <c r="B10" s="1"/>
      <c r="C10" s="1"/>
      <c r="D10" s="1"/>
      <c r="E10" s="1"/>
    </row>
    <row r="11" spans="1:5" x14ac:dyDescent="0.3">
      <c r="A11" s="1" t="s">
        <v>69</v>
      </c>
      <c r="B11" s="1"/>
      <c r="C11" s="1"/>
      <c r="D11" s="1"/>
      <c r="E11" s="1"/>
    </row>
    <row r="12" spans="1:5" x14ac:dyDescent="0.3">
      <c r="A12" s="1" t="s">
        <v>5</v>
      </c>
      <c r="B12" s="1"/>
      <c r="C12" s="1"/>
      <c r="D12" s="1"/>
      <c r="E12" s="1"/>
    </row>
    <row r="13" spans="1:5" x14ac:dyDescent="0.3">
      <c r="A13" s="1" t="s">
        <v>70</v>
      </c>
      <c r="B13" s="1"/>
      <c r="C13" s="1"/>
      <c r="D13" s="1"/>
      <c r="E13" s="1"/>
    </row>
    <row r="14" spans="1:5" x14ac:dyDescent="0.3">
      <c r="A14" s="1" t="s">
        <v>75</v>
      </c>
      <c r="B14" s="1"/>
      <c r="C14" s="1"/>
      <c r="D14" s="1"/>
      <c r="E14" s="1"/>
    </row>
    <row r="15" spans="1:5" x14ac:dyDescent="0.3">
      <c r="A15" s="1" t="s">
        <v>76</v>
      </c>
      <c r="B15" s="1"/>
      <c r="C15" s="1"/>
      <c r="D15" s="1"/>
      <c r="E15" s="1"/>
    </row>
    <row r="16" spans="1:5" x14ac:dyDescent="0.3">
      <c r="A16" s="1" t="s">
        <v>71</v>
      </c>
      <c r="B16" s="1"/>
      <c r="C16" s="1"/>
      <c r="D16" s="1"/>
      <c r="E16" s="1"/>
    </row>
    <row r="17" spans="1:5" x14ac:dyDescent="0.3">
      <c r="A17" s="1" t="s">
        <v>6</v>
      </c>
      <c r="B17" s="1"/>
      <c r="C17" s="1"/>
      <c r="D17" s="1"/>
      <c r="E17" s="1"/>
    </row>
    <row r="18" spans="1:5" x14ac:dyDescent="0.3">
      <c r="A18" s="1" t="s">
        <v>72</v>
      </c>
      <c r="B18" s="1"/>
      <c r="C18" s="1"/>
      <c r="D18" s="1"/>
      <c r="E18" s="1"/>
    </row>
    <row r="19" spans="1:5" x14ac:dyDescent="0.3">
      <c r="A19" s="1" t="s">
        <v>7</v>
      </c>
      <c r="B19" s="1"/>
      <c r="C19" s="1"/>
      <c r="D19" s="1"/>
      <c r="E1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23"/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24"/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7</vt:i4>
      </vt:variant>
    </vt:vector>
  </HeadingPairs>
  <TitlesOfParts>
    <vt:vector size="17" baseType="lpstr">
      <vt:lpstr>CON</vt:lpstr>
      <vt:lpstr>PLA</vt:lpstr>
      <vt:lpstr>ROB</vt:lpstr>
      <vt:lpstr>FUE</vt:lpstr>
      <vt:lpstr>ANG</vt:lpstr>
      <vt:lpstr>AERO</vt:lpstr>
      <vt:lpstr>CONSOLIDADO</vt:lpstr>
      <vt:lpstr>MAESTRO</vt:lpstr>
      <vt:lpstr>Hoja2</vt:lpstr>
      <vt:lpstr>Hoja1</vt:lpstr>
      <vt:lpstr>AERO!Área_de_impresión</vt:lpstr>
      <vt:lpstr>ANG!Área_de_impresión</vt:lpstr>
      <vt:lpstr>CON!Área_de_impresión</vt:lpstr>
      <vt:lpstr>FUE!Área_de_impresión</vt:lpstr>
      <vt:lpstr>PLA!Área_de_impresión</vt:lpstr>
      <vt:lpstr>ROB!Área_de_impresión</vt:lpstr>
      <vt:lpstr>SUCURSALES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lmendoza</dc:creator>
  <cp:lastModifiedBy>PC Franklin</cp:lastModifiedBy>
  <cp:lastPrinted>2016-11-30T21:10:45Z</cp:lastPrinted>
  <dcterms:created xsi:type="dcterms:W3CDTF">2015-04-14T20:47:07Z</dcterms:created>
  <dcterms:modified xsi:type="dcterms:W3CDTF">2026-05-15T12:38:29Z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96 96 1360 768</vt:lpwstr>
  </property>
</Properties>
</file>