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Franklin\Desktop\Indicadores Franklin\2026\Check List De Equipos Abril 2026\"/>
    </mc:Choice>
  </mc:AlternateContent>
  <xr:revisionPtr revIDLastSave="0" documentId="13_ncr:1_{D66E2A57-C1AD-47B8-A421-DBC790135AE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iciembre" sheetId="8" r:id="rId1"/>
  </sheets>
  <definedNames>
    <definedName name="_xlnm.Print_Area" localSheetId="0">Diciembre!$A$1:$N$30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8" l="1"/>
  <c r="I12" i="8"/>
  <c r="I13" i="8"/>
  <c r="I10" i="8"/>
  <c r="I15" i="8" l="1"/>
  <c r="J12" i="8"/>
  <c r="J11" i="8" l="1"/>
  <c r="J10" i="8"/>
  <c r="J13" i="8" l="1"/>
  <c r="I14" i="8" s="1"/>
  <c r="F14" i="8" l="1"/>
</calcChain>
</file>

<file path=xl/sharedStrings.xml><?xml version="1.0" encoding="utf-8"?>
<sst xmlns="http://schemas.openxmlformats.org/spreadsheetml/2006/main" count="71" uniqueCount="57">
  <si>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</si>
  <si>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</si>
  <si>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</si>
  <si>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</si>
  <si>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</si>
  <si>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</si>
  <si>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</si>
  <si>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</si>
  <si>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</si>
  <si>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</si>
  <si>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</si>
  <si>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</si>
  <si>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FIRMA:</t>
  </si>
  <si>
    <t>CARGO:</t>
  </si>
  <si>
    <t>NOMBRE Y APELLIDO:</t>
  </si>
  <si>
    <t>REVISADO POR:</t>
  </si>
  <si>
    <t>REALIZADO POR:</t>
  </si>
  <si>
    <t>TOTAL EFECTIVIDAD</t>
  </si>
  <si>
    <t>TOTAL ASIGNACION</t>
  </si>
  <si>
    <t>Observaciones</t>
  </si>
  <si>
    <t>Bonificación</t>
  </si>
  <si>
    <t>Desempeño</t>
  </si>
  <si>
    <t>Resultado</t>
  </si>
  <si>
    <t>Valor</t>
  </si>
  <si>
    <t>Criterio Medición de Desempeño</t>
  </si>
  <si>
    <t>Criterio Medición de Resultados</t>
  </si>
  <si>
    <t>Indicador</t>
  </si>
  <si>
    <t>Año:</t>
  </si>
  <si>
    <t>Mes:</t>
  </si>
  <si>
    <t>Bonificación:</t>
  </si>
  <si>
    <t>Cargo:</t>
  </si>
  <si>
    <t>Departamento:</t>
  </si>
  <si>
    <t>Revisión:</t>
  </si>
  <si>
    <t>FO-DIR-11</t>
  </si>
  <si>
    <t>Indicadores de Desempeño y Logro de Objetivos</t>
  </si>
  <si>
    <t>Soportes</t>
  </si>
  <si>
    <t xml:space="preserve">OBSERVACIONES: </t>
  </si>
  <si>
    <t>Efectividad</t>
  </si>
  <si>
    <t>Nombre y Apellido:</t>
  </si>
  <si>
    <t>Sistemas</t>
  </si>
  <si>
    <t>02</t>
  </si>
  <si>
    <t>08/04/2016</t>
  </si>
  <si>
    <t>Fecha:</t>
  </si>
  <si>
    <t xml:space="preserve"> </t>
  </si>
  <si>
    <t>Rutinario</t>
  </si>
  <si>
    <t xml:space="preserve">Soportes Nocturnos </t>
  </si>
  <si>
    <t xml:space="preserve">Numero de ticket cerrados al mes en plataforma Click Up                                                                                                              A)Banda 80% a 100 %  . Boto 100%                                                          B)Banda 50% a 79 %       Boto 70%                                                                 C)Banda 0% a 49 %          Boto 0%      </t>
  </si>
  <si>
    <t>Tickets Trabajados Clic Up</t>
  </si>
  <si>
    <t>Efectividad de los trabajos realizados en guardia nocturna, Cantidad de casos todales contra casos no solucionados</t>
  </si>
  <si>
    <t>Franklin Martinez</t>
  </si>
  <si>
    <t>Soporte</t>
  </si>
  <si>
    <t>Operatividad de Tienda</t>
  </si>
  <si>
    <t>Reporte todos  los lunes de Operatividad tienda. Insumos reportados deben de ejecutarse esa misma semana</t>
  </si>
  <si>
    <t>Hacer respaldo Base Datos de Tiendas
Hacer respaldo Diario de BD de ICG Manager
Limpieza de los log de las Base de Datos del Manager
Verificación de respaldo BD Serví-nomina
Cambio de Cotización  
Reporte de Salida (Notificar albaranes y ticket realizados)</t>
  </si>
  <si>
    <t>Administrador De Hardware</t>
  </si>
  <si>
    <t>Efectividad equipos Margarita 100%, Efectividad equipos Base Norte  99%,Efectividad equipos Base Sur 100%,  Efectividad Equipos Base Caracas 100%. Funcionamiento de equipos tienda  Global 99,70%</t>
  </si>
  <si>
    <t>*Total de ticket trabajados mes de Abril 41 , total cerrados puntualidad 11, para una efectividad en ticket cerrados de 76,35%. Se Instalraon 3 Tiendas A niverl Fisico Cableado de Red, configuracion icg y todo referente para salir a la venta a demas se esta trabajando en la primera parte de Homologacion en Venmotos y casa de la caña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</si>
</sst>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 * #,##0.00_ ;_ * \-#,##0.00_ ;_ * &quot;-&quot;??_ ;_ @_ "/>
    <numFmt numFmtId="166" formatCode="0_ ;\-0\ "/>
    <numFmt numFmtId="167" formatCode="#,##0.00_ ;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3" xfId="0" applyBorder="1" applyProtection="1">
      <protection locked="0"/>
    </xf>
    <xf numFmtId="0" fontId="9" fillId="0" borderId="9" xfId="0" applyFont="1" applyBorder="1" applyAlignment="1">
      <alignment horizontal="right" vertical="center"/>
    </xf>
    <xf numFmtId="49" fontId="8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17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66" fontId="6" fillId="0" borderId="0" xfId="1" applyNumberFormat="1" applyFont="1" applyBorder="1" applyAlignment="1" applyProtection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7" fontId="6" fillId="0" borderId="0" xfId="1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justify" vertical="top" wrapText="1"/>
    </xf>
    <xf numFmtId="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justify" vertical="top" wrapText="1"/>
    </xf>
    <xf numFmtId="9" fontId="4" fillId="0" borderId="0" xfId="0" applyNumberFormat="1" applyFont="1" applyAlignment="1">
      <alignment horizontal="center" vertical="center" wrapText="1"/>
    </xf>
    <xf numFmtId="0" fontId="0" fillId="0" borderId="14" xfId="0" applyBorder="1"/>
    <xf numFmtId="0" fontId="0" fillId="0" borderId="12" xfId="0" applyBorder="1"/>
    <xf numFmtId="0" fontId="0" fillId="0" borderId="6" xfId="0" applyBorder="1"/>
    <xf numFmtId="0" fontId="0" fillId="0" borderId="0" xfId="0" applyAlignment="1">
      <alignment horizontal="center"/>
    </xf>
    <xf numFmtId="17" fontId="6" fillId="0" borderId="20" xfId="0" applyNumberFormat="1" applyFont="1" applyBorder="1" applyAlignment="1" applyProtection="1">
      <alignment horizontal="center" vertical="center"/>
      <protection locked="0"/>
    </xf>
    <xf numFmtId="166" fontId="6" fillId="0" borderId="20" xfId="1" applyNumberFormat="1" applyFont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7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9" fontId="3" fillId="0" borderId="9" xfId="0" applyNumberFormat="1" applyFont="1" applyBorder="1" applyAlignment="1" applyProtection="1">
      <alignment horizontal="center" vertical="center" wrapText="1"/>
      <protection locked="0"/>
    </xf>
    <xf numFmtId="2" fontId="6" fillId="0" borderId="9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9" fontId="5" fillId="0" borderId="9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165" fontId="4" fillId="0" borderId="0" xfId="1" applyFont="1" applyBorder="1" applyAlignment="1" applyProtection="1">
      <alignment horizontal="center" vertical="center" wrapText="1"/>
    </xf>
    <xf numFmtId="0" fontId="3" fillId="5" borderId="30" xfId="0" applyFont="1" applyFill="1" applyBorder="1" applyAlignment="1" applyProtection="1">
      <alignment horizontal="left" vertical="center" wrapText="1"/>
      <protection locked="0"/>
    </xf>
    <xf numFmtId="0" fontId="3" fillId="5" borderId="30" xfId="0" applyFont="1" applyFill="1" applyBorder="1" applyAlignment="1" applyProtection="1">
      <alignment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0" fillId="0" borderId="19" xfId="0" applyFont="1" applyBorder="1" applyAlignment="1" applyProtection="1">
      <alignment horizontal="left" vertical="center" wrapText="1"/>
      <protection locked="0"/>
    </xf>
    <xf numFmtId="0" fontId="10" fillId="0" borderId="21" xfId="0" applyFont="1" applyBorder="1" applyAlignment="1" applyProtection="1">
      <alignment horizontal="left" vertical="center" wrapText="1"/>
      <protection locked="0"/>
    </xf>
    <xf numFmtId="0" fontId="3" fillId="5" borderId="9" xfId="0" applyFont="1" applyFill="1" applyBorder="1" applyAlignment="1" applyProtection="1">
      <alignment vertical="center" wrapText="1"/>
      <protection locked="0"/>
    </xf>
    <xf numFmtId="164" fontId="5" fillId="0" borderId="9" xfId="3" applyFont="1" applyBorder="1" applyAlignment="1" applyProtection="1">
      <alignment horizontal="center" vertical="center" wrapText="1"/>
    </xf>
    <xf numFmtId="9" fontId="11" fillId="0" borderId="9" xfId="2" applyNumberFormat="1" applyFont="1" applyBorder="1" applyAlignment="1" applyProtection="1">
      <alignment horizontal="center" vertical="center"/>
    </xf>
    <xf numFmtId="14" fontId="0" fillId="0" borderId="5" xfId="0" applyNumberFormat="1" applyBorder="1" applyProtection="1"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6" fillId="0" borderId="21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10" fillId="0" borderId="9" xfId="0" applyFont="1" applyBorder="1" applyAlignment="1" applyProtection="1">
      <alignment horizontal="left" vertical="center" wrapText="1"/>
      <protection locked="0"/>
    </xf>
    <xf numFmtId="0" fontId="6" fillId="0" borderId="21" xfId="0" applyFont="1" applyBorder="1" applyAlignment="1" applyProtection="1">
      <alignment horizontal="left" vertical="center"/>
      <protection locked="0"/>
    </xf>
    <xf numFmtId="0" fontId="7" fillId="0" borderId="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/>
      <protection locked="0"/>
    </xf>
    <xf numFmtId="9" fontId="5" fillId="3" borderId="23" xfId="0" applyNumberFormat="1" applyFont="1" applyFill="1" applyBorder="1" applyAlignment="1">
      <alignment horizontal="right" vertical="center"/>
    </xf>
    <xf numFmtId="9" fontId="5" fillId="3" borderId="22" xfId="0" applyNumberFormat="1" applyFont="1" applyFill="1" applyBorder="1" applyAlignment="1">
      <alignment horizontal="right" vertical="center"/>
    </xf>
    <xf numFmtId="164" fontId="5" fillId="3" borderId="23" xfId="3" applyFont="1" applyFill="1" applyBorder="1" applyAlignment="1" applyProtection="1">
      <alignment horizontal="center" vertical="center" wrapText="1"/>
    </xf>
    <xf numFmtId="164" fontId="5" fillId="3" borderId="22" xfId="3" applyFont="1" applyFill="1" applyBorder="1" applyAlignment="1" applyProtection="1">
      <alignment horizontal="center" vertical="center" wrapText="1"/>
    </xf>
    <xf numFmtId="9" fontId="5" fillId="3" borderId="8" xfId="0" applyNumberFormat="1" applyFont="1" applyFill="1" applyBorder="1" applyAlignment="1">
      <alignment horizontal="right" vertical="center"/>
    </xf>
    <xf numFmtId="9" fontId="5" fillId="3" borderId="21" xfId="0" applyNumberFormat="1" applyFont="1" applyFill="1" applyBorder="1" applyAlignment="1">
      <alignment horizontal="right" vertical="center"/>
    </xf>
    <xf numFmtId="9" fontId="5" fillId="3" borderId="8" xfId="2" applyFont="1" applyFill="1" applyBorder="1" applyAlignment="1" applyProtection="1">
      <alignment horizontal="center" vertical="center" wrapText="1"/>
    </xf>
    <xf numFmtId="9" fontId="5" fillId="3" borderId="21" xfId="2" applyFont="1" applyFill="1" applyBorder="1" applyAlignment="1" applyProtection="1">
      <alignment horizontal="center" vertical="center" wrapText="1"/>
    </xf>
    <xf numFmtId="0" fontId="3" fillId="0" borderId="2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2" borderId="18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100012</xdr:rowOff>
    </xdr:from>
    <xdr:to>
      <xdr:col>0</xdr:col>
      <xdr:colOff>1125039</xdr:colOff>
      <xdr:row>2</xdr:row>
      <xdr:rowOff>210978</xdr:rowOff>
    </xdr:to>
    <xdr:pic>
      <xdr:nvPicPr>
        <xdr:cNvPr id="2" name="2 Imagen" descr="LOGO LA CASA DE LA CAÑA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00012"/>
          <a:ext cx="978354" cy="507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showGridLines="0" tabSelected="1" view="pageBreakPreview" topLeftCell="A6" zoomScale="70" zoomScaleNormal="70" zoomScaleSheetLayoutView="70" workbookViewId="0">
      <selection activeCell="D13" sqref="D13:E13"/>
    </sheetView>
  </sheetViews>
  <sheetFormatPr baseColWidth="10" defaultColWidth="11.44140625" defaultRowHeight="14.4" x14ac:dyDescent="0.3"/>
  <cols>
    <col min="1" max="2" width="21.5546875" customWidth="1"/>
    <col min="3" max="3" width="30.5546875" customWidth="1"/>
    <col min="4" max="4" width="38.5546875" customWidth="1"/>
    <col min="5" max="5" width="40.109375" customWidth="1"/>
    <col min="6" max="6" width="12.6640625" style="12" bestFit="1" customWidth="1"/>
    <col min="7" max="7" width="14.33203125" style="12" bestFit="1" customWidth="1"/>
    <col min="8" max="8" width="17" style="12" bestFit="1" customWidth="1"/>
    <col min="9" max="9" width="15.33203125" style="12" bestFit="1" customWidth="1"/>
    <col min="10" max="10" width="25.33203125" style="12" customWidth="1"/>
    <col min="11" max="11" width="51.33203125" style="12" customWidth="1"/>
    <col min="12" max="12" width="19.88671875" customWidth="1"/>
    <col min="13" max="13" width="3.6640625" bestFit="1" customWidth="1"/>
    <col min="14" max="14" width="20.33203125" customWidth="1"/>
    <col min="17" max="17" width="0" hidden="1" customWidth="1"/>
  </cols>
  <sheetData>
    <row r="1" spans="1:14" ht="15.6" x14ac:dyDescent="0.3">
      <c r="A1" s="61"/>
      <c r="B1" s="62" t="s">
        <v>34</v>
      </c>
      <c r="C1" s="63"/>
      <c r="D1" s="63"/>
      <c r="E1" s="63"/>
      <c r="F1" s="63"/>
      <c r="G1" s="63"/>
      <c r="H1" s="63"/>
      <c r="I1" s="63"/>
      <c r="J1" s="63"/>
      <c r="K1" s="64"/>
      <c r="L1" s="4">
        <v>1</v>
      </c>
      <c r="M1" s="71" t="s">
        <v>33</v>
      </c>
      <c r="N1" s="72"/>
    </row>
    <row r="2" spans="1:14" ht="15.6" x14ac:dyDescent="0.3">
      <c r="A2" s="61"/>
      <c r="B2" s="65"/>
      <c r="C2" s="66"/>
      <c r="D2" s="66"/>
      <c r="E2" s="66"/>
      <c r="F2" s="66"/>
      <c r="G2" s="66"/>
      <c r="H2" s="66"/>
      <c r="I2" s="66"/>
      <c r="J2" s="66"/>
      <c r="K2" s="67"/>
      <c r="L2" s="4" t="s">
        <v>32</v>
      </c>
      <c r="M2" s="5" t="s">
        <v>40</v>
      </c>
      <c r="N2" s="5" t="s">
        <v>41</v>
      </c>
    </row>
    <row r="3" spans="1:14" ht="24" customHeight="1" x14ac:dyDescent="0.3">
      <c r="A3" s="61"/>
      <c r="B3" s="68"/>
      <c r="C3" s="69"/>
      <c r="D3" s="69"/>
      <c r="E3" s="69"/>
      <c r="F3" s="69"/>
      <c r="G3" s="69"/>
      <c r="H3" s="69"/>
      <c r="I3" s="69"/>
      <c r="J3" s="69"/>
      <c r="K3" s="70"/>
      <c r="L3" s="4" t="s">
        <v>42</v>
      </c>
      <c r="M3" s="73">
        <v>42468</v>
      </c>
      <c r="N3" s="74"/>
    </row>
    <row r="4" spans="1:14" ht="21" x14ac:dyDescent="0.3">
      <c r="A4" s="6"/>
      <c r="B4" s="38"/>
      <c r="C4" s="38"/>
      <c r="D4" s="38"/>
      <c r="E4" s="38"/>
      <c r="F4" s="38"/>
      <c r="G4" s="38"/>
      <c r="H4" s="7"/>
      <c r="I4" s="7"/>
      <c r="J4" s="8"/>
      <c r="K4" s="8"/>
    </row>
    <row r="5" spans="1:14" ht="21" x14ac:dyDescent="0.3">
      <c r="A5" s="9"/>
      <c r="B5" s="10" t="s">
        <v>31</v>
      </c>
      <c r="C5" s="33" t="s">
        <v>39</v>
      </c>
      <c r="D5" s="11" t="s">
        <v>38</v>
      </c>
      <c r="E5" s="31" t="s">
        <v>49</v>
      </c>
      <c r="G5" s="13" t="s">
        <v>28</v>
      </c>
      <c r="H5" s="29" t="s">
        <v>8</v>
      </c>
      <c r="K5" s="14"/>
    </row>
    <row r="6" spans="1:14" ht="21" x14ac:dyDescent="0.3">
      <c r="A6" s="9"/>
      <c r="B6" s="10" t="s">
        <v>30</v>
      </c>
      <c r="C6" s="33" t="s">
        <v>50</v>
      </c>
      <c r="D6" s="13" t="s">
        <v>29</v>
      </c>
      <c r="E6" s="32">
        <v>399.99</v>
      </c>
      <c r="F6" s="15"/>
      <c r="G6" s="16" t="s">
        <v>27</v>
      </c>
      <c r="H6" s="30">
        <v>2026</v>
      </c>
      <c r="K6" s="14"/>
      <c r="L6" s="16"/>
      <c r="M6" s="16"/>
      <c r="N6" s="17"/>
    </row>
    <row r="7" spans="1:14" ht="21" x14ac:dyDescent="0.3">
      <c r="A7" s="9"/>
      <c r="B7" s="18"/>
      <c r="C7" s="19"/>
      <c r="D7" s="13"/>
      <c r="E7" s="19"/>
      <c r="F7" s="15"/>
      <c r="G7" s="20"/>
      <c r="H7" s="13"/>
      <c r="I7" s="13"/>
      <c r="J7" s="14"/>
      <c r="K7" s="14"/>
      <c r="L7" s="16"/>
      <c r="M7" s="16"/>
      <c r="N7" s="17"/>
    </row>
    <row r="8" spans="1:14" ht="12.75" customHeight="1" x14ac:dyDescent="0.3">
      <c r="A8" s="18"/>
    </row>
    <row r="9" spans="1:14" ht="30.75" customHeight="1" x14ac:dyDescent="0.3">
      <c r="A9" s="39" t="s">
        <v>26</v>
      </c>
      <c r="B9" s="75" t="s">
        <v>25</v>
      </c>
      <c r="C9" s="75"/>
      <c r="D9" s="75" t="s">
        <v>24</v>
      </c>
      <c r="E9" s="75"/>
      <c r="F9" s="39" t="s">
        <v>23</v>
      </c>
      <c r="G9" s="39" t="s">
        <v>22</v>
      </c>
      <c r="H9" s="39" t="s">
        <v>21</v>
      </c>
      <c r="I9" s="39" t="s">
        <v>37</v>
      </c>
      <c r="J9" s="39" t="s">
        <v>20</v>
      </c>
      <c r="K9" s="39" t="s">
        <v>35</v>
      </c>
      <c r="L9" s="75" t="s">
        <v>19</v>
      </c>
      <c r="M9" s="75"/>
      <c r="N9" s="75"/>
    </row>
    <row r="10" spans="1:14" ht="130.5" customHeight="1" x14ac:dyDescent="0.3">
      <c r="A10" s="41" t="s">
        <v>44</v>
      </c>
      <c r="B10" s="50" t="s">
        <v>53</v>
      </c>
      <c r="C10" s="60"/>
      <c r="D10" s="52"/>
      <c r="E10" s="53"/>
      <c r="F10" s="37">
        <v>0.2</v>
      </c>
      <c r="G10" s="37">
        <v>0.2</v>
      </c>
      <c r="H10" s="37"/>
      <c r="I10" s="48">
        <f>G10*1/F10</f>
        <v>1</v>
      </c>
      <c r="J10" s="47">
        <f>G10*$E$6</f>
        <v>79.998000000000005</v>
      </c>
      <c r="K10" s="35"/>
      <c r="L10" s="54"/>
      <c r="M10" s="55"/>
      <c r="N10" s="56"/>
    </row>
    <row r="11" spans="1:14" ht="98.25" customHeight="1" x14ac:dyDescent="0.3">
      <c r="A11" s="42" t="s">
        <v>51</v>
      </c>
      <c r="B11" s="57" t="s">
        <v>52</v>
      </c>
      <c r="C11" s="58"/>
      <c r="D11" s="57" t="s">
        <v>55</v>
      </c>
      <c r="E11" s="57"/>
      <c r="F11" s="37">
        <v>0.3</v>
      </c>
      <c r="G11" s="37">
        <v>0.3</v>
      </c>
      <c r="H11" s="34"/>
      <c r="I11" s="48">
        <f t="shared" ref="I11:I13" si="0">G11*1/F11</f>
        <v>1</v>
      </c>
      <c r="J11" s="47">
        <f>G11*$E$6</f>
        <v>119.997</v>
      </c>
      <c r="K11" s="35"/>
      <c r="L11" s="59"/>
      <c r="M11" s="59"/>
      <c r="N11" s="59"/>
    </row>
    <row r="12" spans="1:14" ht="98.25" customHeight="1" x14ac:dyDescent="0.3">
      <c r="A12" s="42" t="s">
        <v>47</v>
      </c>
      <c r="B12" s="50" t="s">
        <v>46</v>
      </c>
      <c r="C12" s="51"/>
      <c r="D12" s="50" t="s">
        <v>56</v>
      </c>
      <c r="E12" s="51"/>
      <c r="F12" s="37">
        <v>0.4</v>
      </c>
      <c r="G12" s="37">
        <v>0.4</v>
      </c>
      <c r="H12" s="34"/>
      <c r="I12" s="48">
        <f t="shared" si="0"/>
        <v>1</v>
      </c>
      <c r="J12" s="47">
        <f>G12*$E$6</f>
        <v>159.99600000000001</v>
      </c>
      <c r="K12" s="35"/>
      <c r="L12" s="43"/>
      <c r="M12" s="44"/>
      <c r="N12" s="45"/>
    </row>
    <row r="13" spans="1:14" ht="162" customHeight="1" x14ac:dyDescent="0.3">
      <c r="A13" s="46" t="s">
        <v>45</v>
      </c>
      <c r="B13" s="50" t="s">
        <v>48</v>
      </c>
      <c r="C13" s="51"/>
      <c r="D13" s="50"/>
      <c r="E13" s="51"/>
      <c r="F13" s="37">
        <v>0.1</v>
      </c>
      <c r="G13" s="37">
        <v>0.1</v>
      </c>
      <c r="H13" s="37"/>
      <c r="I13" s="48">
        <f t="shared" si="0"/>
        <v>1</v>
      </c>
      <c r="J13" s="47">
        <f>G13*$E$6</f>
        <v>39.999000000000002</v>
      </c>
      <c r="K13" s="35"/>
      <c r="L13" s="54" t="s">
        <v>43</v>
      </c>
      <c r="M13" s="55"/>
      <c r="N13" s="56"/>
    </row>
    <row r="14" spans="1:14" ht="21" customHeight="1" x14ac:dyDescent="0.3">
      <c r="B14" t="s">
        <v>43</v>
      </c>
      <c r="D14" s="21"/>
      <c r="F14" s="22">
        <f>SUM(F10:F13)</f>
        <v>1</v>
      </c>
      <c r="G14" s="77" t="s">
        <v>18</v>
      </c>
      <c r="H14" s="78"/>
      <c r="I14" s="79">
        <f>SUM(J10:J13)</f>
        <v>399.99</v>
      </c>
      <c r="J14" s="80"/>
      <c r="K14"/>
      <c r="L14" s="23"/>
      <c r="M14" s="23"/>
    </row>
    <row r="15" spans="1:14" ht="18" x14ac:dyDescent="0.3">
      <c r="A15" s="23"/>
      <c r="B15" s="23"/>
      <c r="C15" s="23"/>
      <c r="D15" s="23"/>
      <c r="E15" s="23"/>
      <c r="F15" s="24"/>
      <c r="G15" s="81" t="s">
        <v>17</v>
      </c>
      <c r="H15" s="82"/>
      <c r="I15" s="83">
        <f>AVERAGE(I10:I13)</f>
        <v>1</v>
      </c>
      <c r="J15" s="84"/>
      <c r="K15"/>
      <c r="L15" s="23"/>
      <c r="M15" s="23"/>
    </row>
    <row r="16" spans="1:14" ht="18" x14ac:dyDescent="0.3">
      <c r="A16" s="23"/>
      <c r="B16" s="23"/>
      <c r="C16" s="23"/>
      <c r="D16" s="23"/>
      <c r="E16" s="23"/>
      <c r="F16" s="24"/>
      <c r="G16" s="24"/>
      <c r="H16" s="24"/>
      <c r="I16" s="24"/>
      <c r="J16" s="24"/>
      <c r="K16" s="40"/>
      <c r="L16" s="24"/>
      <c r="M16" s="24"/>
    </row>
    <row r="17" spans="1:13" ht="24" customHeight="1" x14ac:dyDescent="0.3">
      <c r="A17" s="85" t="s">
        <v>36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10"/>
    </row>
    <row r="18" spans="1:13" ht="118.5" customHeight="1" x14ac:dyDescent="0.3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36"/>
    </row>
    <row r="19" spans="1:13" ht="15.6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3">
      <c r="F20"/>
      <c r="G20"/>
      <c r="H20"/>
      <c r="I20"/>
      <c r="J20"/>
      <c r="K20"/>
    </row>
    <row r="21" spans="1:13" x14ac:dyDescent="0.3">
      <c r="F21"/>
      <c r="G21"/>
      <c r="H21"/>
      <c r="I21"/>
      <c r="J21"/>
      <c r="K21"/>
    </row>
    <row r="22" spans="1:13" ht="15" thickBot="1" x14ac:dyDescent="0.35">
      <c r="F22"/>
      <c r="G22"/>
      <c r="H22"/>
      <c r="I22"/>
      <c r="J22"/>
      <c r="K22"/>
    </row>
    <row r="23" spans="1:13" ht="15" thickBot="1" x14ac:dyDescent="0.35">
      <c r="B23" s="96" t="s">
        <v>16</v>
      </c>
      <c r="C23" s="97"/>
      <c r="F23" s="98" t="s">
        <v>15</v>
      </c>
      <c r="G23" s="99"/>
      <c r="H23" s="99"/>
      <c r="I23" s="99"/>
      <c r="J23" s="100"/>
      <c r="K23"/>
    </row>
    <row r="24" spans="1:13" x14ac:dyDescent="0.3">
      <c r="B24" s="25" t="s">
        <v>14</v>
      </c>
      <c r="C24" s="31" t="s">
        <v>49</v>
      </c>
      <c r="F24" s="86" t="s">
        <v>14</v>
      </c>
      <c r="G24" s="87"/>
      <c r="H24" s="88"/>
      <c r="I24" s="89"/>
      <c r="J24" s="90"/>
      <c r="K24"/>
    </row>
    <row r="25" spans="1:13" x14ac:dyDescent="0.3">
      <c r="B25" s="26" t="s">
        <v>13</v>
      </c>
      <c r="C25" s="2" t="s">
        <v>54</v>
      </c>
      <c r="F25" s="86" t="s">
        <v>13</v>
      </c>
      <c r="G25" s="87"/>
      <c r="H25" s="88"/>
      <c r="I25" s="89"/>
      <c r="J25" s="90"/>
      <c r="K25"/>
    </row>
    <row r="26" spans="1:13" ht="15" thickBot="1" x14ac:dyDescent="0.35">
      <c r="B26" s="27" t="s">
        <v>12</v>
      </c>
      <c r="C26" s="49">
        <v>45708</v>
      </c>
      <c r="F26" s="91" t="s">
        <v>12</v>
      </c>
      <c r="G26" s="92"/>
      <c r="H26" s="93"/>
      <c r="I26" s="94"/>
      <c r="J26" s="95"/>
      <c r="K26"/>
    </row>
    <row r="27" spans="1:13" s="12" customFormat="1" ht="15" thickBot="1" x14ac:dyDescent="0.35">
      <c r="A27"/>
      <c r="B27" s="96" t="s">
        <v>16</v>
      </c>
      <c r="C27" s="97"/>
      <c r="D27"/>
      <c r="E27"/>
      <c r="F27" s="98" t="s">
        <v>15</v>
      </c>
      <c r="G27" s="99"/>
      <c r="H27" s="99"/>
      <c r="I27" s="99"/>
      <c r="J27" s="100"/>
      <c r="K27"/>
      <c r="L27"/>
      <c r="M27"/>
    </row>
    <row r="28" spans="1:13" x14ac:dyDescent="0.3">
      <c r="B28" s="25" t="s">
        <v>14</v>
      </c>
      <c r="C28" s="3"/>
      <c r="F28" s="86" t="s">
        <v>14</v>
      </c>
      <c r="G28" s="87"/>
      <c r="H28" s="88"/>
      <c r="I28" s="89"/>
      <c r="J28" s="90"/>
      <c r="K28" s="28"/>
    </row>
    <row r="29" spans="1:13" x14ac:dyDescent="0.3">
      <c r="B29" s="26" t="s">
        <v>13</v>
      </c>
      <c r="C29" s="2"/>
      <c r="F29" s="86" t="s">
        <v>13</v>
      </c>
      <c r="G29" s="87"/>
      <c r="H29" s="88"/>
      <c r="I29" s="89"/>
      <c r="J29" s="90"/>
      <c r="K29" s="28"/>
    </row>
    <row r="30" spans="1:13" ht="15" thickBot="1" x14ac:dyDescent="0.35">
      <c r="B30" s="27" t="s">
        <v>12</v>
      </c>
      <c r="C30" s="1"/>
      <c r="F30" s="91" t="s">
        <v>12</v>
      </c>
      <c r="G30" s="92"/>
      <c r="H30" s="93"/>
      <c r="I30" s="94"/>
      <c r="J30" s="95"/>
      <c r="K30" s="28"/>
    </row>
    <row r="33" spans="6:17" x14ac:dyDescent="0.3">
      <c r="Q33" t="s">
        <v>11</v>
      </c>
    </row>
    <row r="34" spans="6:17" x14ac:dyDescent="0.3">
      <c r="Q34" t="s">
        <v>10</v>
      </c>
    </row>
    <row r="35" spans="6:17" x14ac:dyDescent="0.3">
      <c r="F35"/>
      <c r="G35"/>
      <c r="H35"/>
      <c r="I35"/>
      <c r="J35"/>
      <c r="K35"/>
      <c r="Q35" t="s">
        <v>9</v>
      </c>
    </row>
    <row r="36" spans="6:17" x14ac:dyDescent="0.3">
      <c r="F36"/>
      <c r="G36"/>
      <c r="H36"/>
      <c r="I36"/>
      <c r="J36"/>
      <c r="K36"/>
      <c r="Q36" t="s">
        <v>8</v>
      </c>
    </row>
    <row r="37" spans="6:17" x14ac:dyDescent="0.3">
      <c r="F37"/>
      <c r="G37"/>
      <c r="H37"/>
      <c r="I37"/>
      <c r="J37"/>
      <c r="K37"/>
      <c r="Q37" t="s">
        <v>7</v>
      </c>
    </row>
    <row r="38" spans="6:17" x14ac:dyDescent="0.3">
      <c r="F38"/>
      <c r="G38"/>
      <c r="H38"/>
      <c r="I38"/>
      <c r="J38"/>
      <c r="K38"/>
      <c r="Q38" t="s">
        <v>6</v>
      </c>
    </row>
    <row r="39" spans="6:17" x14ac:dyDescent="0.3">
      <c r="F39"/>
      <c r="G39"/>
      <c r="H39"/>
      <c r="I39"/>
      <c r="J39"/>
      <c r="K39"/>
      <c r="Q39" t="s">
        <v>5</v>
      </c>
    </row>
    <row r="40" spans="6:17" x14ac:dyDescent="0.3">
      <c r="F40"/>
      <c r="G40"/>
      <c r="H40"/>
      <c r="I40"/>
      <c r="J40"/>
      <c r="K40"/>
      <c r="Q40" t="s">
        <v>4</v>
      </c>
    </row>
    <row r="41" spans="6:17" x14ac:dyDescent="0.3">
      <c r="F41"/>
      <c r="G41"/>
      <c r="H41"/>
      <c r="I41"/>
      <c r="J41"/>
      <c r="K41"/>
      <c r="Q41" t="s">
        <v>3</v>
      </c>
    </row>
    <row r="42" spans="6:17" x14ac:dyDescent="0.3">
      <c r="F42"/>
      <c r="G42"/>
      <c r="H42"/>
      <c r="I42"/>
      <c r="J42"/>
      <c r="K42"/>
      <c r="Q42" t="s">
        <v>2</v>
      </c>
    </row>
    <row r="43" spans="6:17" x14ac:dyDescent="0.3">
      <c r="F43"/>
      <c r="G43"/>
      <c r="H43"/>
      <c r="I43"/>
      <c r="J43"/>
      <c r="K43"/>
      <c r="Q43" t="s">
        <v>1</v>
      </c>
    </row>
    <row r="44" spans="6:17" x14ac:dyDescent="0.3">
      <c r="F44"/>
      <c r="G44"/>
      <c r="H44"/>
      <c r="I44"/>
      <c r="J44"/>
      <c r="K44"/>
      <c r="Q44" t="s">
        <v>0</v>
      </c>
    </row>
  </sheetData>
  <sheetProtection formatCells="0" formatColumns="0"/>
  <mergeCells count="40">
    <mergeCell ref="B27:C27"/>
    <mergeCell ref="F27:J27"/>
    <mergeCell ref="F28:G28"/>
    <mergeCell ref="H28:J28"/>
    <mergeCell ref="B23:C23"/>
    <mergeCell ref="F23:J23"/>
    <mergeCell ref="F24:G24"/>
    <mergeCell ref="H24:J24"/>
    <mergeCell ref="F25:G25"/>
    <mergeCell ref="H25:J25"/>
    <mergeCell ref="F29:G29"/>
    <mergeCell ref="H29:J29"/>
    <mergeCell ref="F30:G30"/>
    <mergeCell ref="H30:J30"/>
    <mergeCell ref="F26:G26"/>
    <mergeCell ref="H26:J26"/>
    <mergeCell ref="A18:L18"/>
    <mergeCell ref="G14:H14"/>
    <mergeCell ref="I14:J14"/>
    <mergeCell ref="G15:H15"/>
    <mergeCell ref="I15:J15"/>
    <mergeCell ref="A17:L17"/>
    <mergeCell ref="A1:A3"/>
    <mergeCell ref="B1:K3"/>
    <mergeCell ref="M1:N1"/>
    <mergeCell ref="M3:N3"/>
    <mergeCell ref="B9:C9"/>
    <mergeCell ref="D9:E9"/>
    <mergeCell ref="L9:N9"/>
    <mergeCell ref="B13:C13"/>
    <mergeCell ref="D13:E13"/>
    <mergeCell ref="D10:E10"/>
    <mergeCell ref="L10:N10"/>
    <mergeCell ref="B11:C11"/>
    <mergeCell ref="D11:E11"/>
    <mergeCell ref="L11:N11"/>
    <mergeCell ref="L13:N13"/>
    <mergeCell ref="B10:C10"/>
    <mergeCell ref="B12:C12"/>
    <mergeCell ref="D12:E12"/>
  </mergeCells>
  <dataValidations count="1">
    <dataValidation type="list" allowBlank="1" showInputMessage="1" showErrorMessage="1" sqref="H5 J7" xr:uid="{00000000-0002-0000-0000-000000000000}">
      <formula1>$Q$32:$Q$44</formula1>
    </dataValidation>
  </dataValidations>
  <pageMargins left="0.55118110236220474" right="0.23622047244094491" top="0.74803149606299213" bottom="0.74803149606299213" header="0.31496062992125984" footer="0.31496062992125984"/>
  <pageSetup scale="39" orientation="landscape" r:id="rId1"/>
  <headerFooter>
    <oddHeader>&amp;R&amp;"-,Negrita"PAG &amp;P /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Diciembre</vt:lpstr>
      <vt:lpstr>Diciembre!Área_de_impresión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Jaimeliz Millan</dc:creator>
  <cp:lastModifiedBy>PC Franklin</cp:lastModifiedBy>
  <cp:lastPrinted>2022-06-06T15:05:24Z</cp:lastPrinted>
  <dcterms:created xsi:type="dcterms:W3CDTF">2015-03-13T22:23:17Z</dcterms:created>
  <dcterms:modified xsi:type="dcterms:W3CDTF">2026-05-15T23:03:44Z</dcterms:modified>
</cp:coreProperties>
</file>