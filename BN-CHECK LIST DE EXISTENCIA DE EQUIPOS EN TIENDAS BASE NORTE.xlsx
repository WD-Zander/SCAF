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C Franklin\Desktop\Indicadores Franklin\2026\Check List De Equipos Abril 2026\"/>
    </mc:Choice>
  </mc:AlternateContent>
  <xr:revisionPtr revIDLastSave="0" documentId="13_ncr:1_{38DB0EBA-C987-43EF-84BA-98BB84F92277}" xr6:coauthVersionLast="47" xr6:coauthVersionMax="47" xr10:uidLastSave="{00000000-0000-0000-0000-000000000000}"/>
  <bookViews>
    <workbookView xWindow="28680" yWindow="1635" windowWidth="24240" windowHeight="13020" tabRatio="750" firstSheet="10" activeTab="21" xr2:uid="{00000000-000D-0000-FFFF-FFFF00000000}"/>
  </bookViews>
  <sheets>
    <sheet name="ALT" sheetId="43" r:id="rId1"/>
    <sheet name="ANA" sheetId="58" r:id="rId2"/>
    <sheet name="CUM" sheetId="59" r:id="rId3"/>
    <sheet name="MAT I" sheetId="60" r:id="rId4"/>
    <sheet name="MAT II" sheetId="61" r:id="rId5"/>
    <sheet name="NVA BNA" sheetId="62" r:id="rId6"/>
    <sheet name="TER" sheetId="66" r:id="rId7"/>
    <sheet name="CHU" sheetId="65" r:id="rId8"/>
    <sheet name="TIG II" sheetId="67" r:id="rId9"/>
    <sheet name="POZ" sheetId="64" r:id="rId10"/>
    <sheet name="TIG III" sheetId="68" r:id="rId11"/>
    <sheet name="LEC" sheetId="69" r:id="rId12"/>
    <sheet name="PTE" sheetId="70" r:id="rId13"/>
    <sheet name="PLC" sheetId="71" r:id="rId14"/>
    <sheet name="FRE" sheetId="79" r:id="rId15"/>
    <sheet name="VEN" sheetId="78" r:id="rId16"/>
    <sheet name="RED" sheetId="80" r:id="rId17"/>
    <sheet name="BOLPLC" sheetId="82" r:id="rId18"/>
    <sheet name="CHUR" sheetId="83" r:id="rId19"/>
    <sheet name="MANS" sheetId="84" r:id="rId20"/>
    <sheet name="FARO" sheetId="85" r:id="rId21"/>
    <sheet name="CRUCERO" sheetId="105" r:id="rId22"/>
    <sheet name="BOYACA" sheetId="106" r:id="rId23"/>
    <sheet name="MUNIPALPLC" sheetId="107" r:id="rId24"/>
    <sheet name="CONSOLIDADO" sheetId="81" r:id="rId25"/>
    <sheet name="MAESTRO" sheetId="75" state="hidden" r:id="rId26"/>
    <sheet name="Hoja2" sheetId="76" state="hidden" r:id="rId27"/>
    <sheet name="Hoja1" sheetId="77" state="hidden" r:id="rId28"/>
  </sheets>
  <definedNames>
    <definedName name="_xlnm.Print_Area" localSheetId="0">ALT!$A$1:$L$35</definedName>
    <definedName name="_xlnm.Print_Area" localSheetId="1">ANA!$A$1:$K$35</definedName>
    <definedName name="_xlnm.Print_Area" localSheetId="17">BOLPLC!$A$1:$K$36</definedName>
    <definedName name="_xlnm.Print_Area" localSheetId="22">BOYACA!$A$1:$K$36</definedName>
    <definedName name="_xlnm.Print_Area" localSheetId="7">CHU!$A$1:$K$36</definedName>
    <definedName name="_xlnm.Print_Area" localSheetId="18">CHUR!$A$1:$K$36</definedName>
    <definedName name="_xlnm.Print_Area" localSheetId="21">CRUCERO!$A$1:$K$36</definedName>
    <definedName name="_xlnm.Print_Area" localSheetId="2">CUM!$A$1:$K$36</definedName>
    <definedName name="_xlnm.Print_Area" localSheetId="20">FARO!$A$1:$K$36</definedName>
    <definedName name="_xlnm.Print_Area" localSheetId="14">FRE!$A$1:$K$36</definedName>
    <definedName name="_xlnm.Print_Area" localSheetId="11">LEC!$A$1:$K$38</definedName>
    <definedName name="_xlnm.Print_Area" localSheetId="19">MANS!$A$1:$K$36</definedName>
    <definedName name="_xlnm.Print_Area" localSheetId="3">'MAT I'!$A$1:$K$36</definedName>
    <definedName name="_xlnm.Print_Area" localSheetId="4">'MAT II'!$A$1:$K$36</definedName>
    <definedName name="_xlnm.Print_Area" localSheetId="23">MUNIPALPLC!$A$1:$K$36</definedName>
    <definedName name="_xlnm.Print_Area" localSheetId="5">'NVA BNA'!$A$1:$K$36</definedName>
    <definedName name="_xlnm.Print_Area" localSheetId="13">PLC!$A$1:$K$36</definedName>
    <definedName name="_xlnm.Print_Area" localSheetId="9">POZ!$A$1:$K$36</definedName>
    <definedName name="_xlnm.Print_Area" localSheetId="12">PTE!$A$1:$K$36</definedName>
    <definedName name="_xlnm.Print_Area" localSheetId="16">RED!$A$1:$K$36</definedName>
    <definedName name="_xlnm.Print_Area" localSheetId="6">TER!$A$1:$K$36</definedName>
    <definedName name="_xlnm.Print_Area" localSheetId="8">'TIG II'!$A$1:$K$36</definedName>
    <definedName name="_xlnm.Print_Area" localSheetId="10">'TIG III'!$A$1:$K$36</definedName>
    <definedName name="_xlnm.Print_Area" localSheetId="15">VEN!$A$1:$K$37</definedName>
    <definedName name="CUMPLIO" localSheetId="0">#REF!</definedName>
    <definedName name="CUMPLIO" localSheetId="1">#REF!</definedName>
    <definedName name="CUMPLIO" localSheetId="17">#REF!</definedName>
    <definedName name="CUMPLIO" localSheetId="7">#REF!</definedName>
    <definedName name="CUMPLIO" localSheetId="18">#REF!</definedName>
    <definedName name="CUMPLIO" localSheetId="21">#REF!</definedName>
    <definedName name="CUMPLIO" localSheetId="2">#REF!</definedName>
    <definedName name="CUMPLIO" localSheetId="20">#REF!</definedName>
    <definedName name="CUMPLIO" localSheetId="11">#REF!</definedName>
    <definedName name="CUMPLIO" localSheetId="19">#REF!</definedName>
    <definedName name="CUMPLIO" localSheetId="3">#REF!</definedName>
    <definedName name="CUMPLIO" localSheetId="4">#REF!</definedName>
    <definedName name="CUMPLIO" localSheetId="5">#REF!</definedName>
    <definedName name="CUMPLIO" localSheetId="13">#REF!</definedName>
    <definedName name="CUMPLIO" localSheetId="9">#REF!</definedName>
    <definedName name="CUMPLIO" localSheetId="12">#REF!</definedName>
    <definedName name="CUMPLIO" localSheetId="16">#REF!</definedName>
    <definedName name="CUMPLIO" localSheetId="6">#REF!</definedName>
    <definedName name="CUMPLIO" localSheetId="8">#REF!</definedName>
    <definedName name="CUMPLIO" localSheetId="10">#REF!</definedName>
    <definedName name="CUMPLIO">#REF!</definedName>
    <definedName name="EQUIPO" localSheetId="0">#REF!</definedName>
    <definedName name="EQUIPO" localSheetId="1">#REF!</definedName>
    <definedName name="EQUIPO" localSheetId="17">#REF!</definedName>
    <definedName name="EQUIPO" localSheetId="7">#REF!</definedName>
    <definedName name="EQUIPO" localSheetId="18">#REF!</definedName>
    <definedName name="EQUIPO" localSheetId="21">#REF!</definedName>
    <definedName name="EQUIPO" localSheetId="2">#REF!</definedName>
    <definedName name="EQUIPO" localSheetId="20">#REF!</definedName>
    <definedName name="EQUIPO" localSheetId="11">#REF!</definedName>
    <definedName name="EQUIPO" localSheetId="19">#REF!</definedName>
    <definedName name="EQUIPO" localSheetId="3">#REF!</definedName>
    <definedName name="EQUIPO" localSheetId="4">#REF!</definedName>
    <definedName name="EQUIPO" localSheetId="5">#REF!</definedName>
    <definedName name="EQUIPO" localSheetId="13">#REF!</definedName>
    <definedName name="EQUIPO" localSheetId="9">#REF!</definedName>
    <definedName name="EQUIPO" localSheetId="12">#REF!</definedName>
    <definedName name="EQUIPO" localSheetId="16">#REF!</definedName>
    <definedName name="EQUIPO" localSheetId="6">#REF!</definedName>
    <definedName name="EQUIPO" localSheetId="8">#REF!</definedName>
    <definedName name="EQUIPO" localSheetId="10">#REF!</definedName>
    <definedName name="EQUIPO">#REF!</definedName>
    <definedName name="EQUIPOS" localSheetId="0">#REF!</definedName>
    <definedName name="EQUIPOS" localSheetId="1">#REF!</definedName>
    <definedName name="EQUIPOS" localSheetId="17">#REF!</definedName>
    <definedName name="EQUIPOS" localSheetId="7">#REF!</definedName>
    <definedName name="EQUIPOS" localSheetId="18">#REF!</definedName>
    <definedName name="EQUIPOS" localSheetId="21">#REF!</definedName>
    <definedName name="EQUIPOS" localSheetId="2">#REF!</definedName>
    <definedName name="EQUIPOS" localSheetId="20">#REF!</definedName>
    <definedName name="EQUIPOS" localSheetId="11">#REF!</definedName>
    <definedName name="EQUIPOS" localSheetId="19">#REF!</definedName>
    <definedName name="EQUIPOS" localSheetId="3">#REF!</definedName>
    <definedName name="EQUIPOS" localSheetId="4">#REF!</definedName>
    <definedName name="EQUIPOS" localSheetId="5">#REF!</definedName>
    <definedName name="EQUIPOS" localSheetId="13">#REF!</definedName>
    <definedName name="EQUIPOS" localSheetId="9">#REF!</definedName>
    <definedName name="EQUIPOS" localSheetId="12">#REF!</definedName>
    <definedName name="EQUIPOS" localSheetId="16">#REF!</definedName>
    <definedName name="EQUIPOS" localSheetId="6">#REF!</definedName>
    <definedName name="EQUIPOS" localSheetId="8">#REF!</definedName>
    <definedName name="EQUIPOS" localSheetId="10">#REF!</definedName>
    <definedName name="EQUIPOS">#REF!</definedName>
    <definedName name="LISTA" localSheetId="0">#REF!</definedName>
    <definedName name="LISTA" localSheetId="1">#REF!</definedName>
    <definedName name="LISTA" localSheetId="17">#REF!</definedName>
    <definedName name="LISTA" localSheetId="7">#REF!</definedName>
    <definedName name="LISTA" localSheetId="18">#REF!</definedName>
    <definedName name="LISTA" localSheetId="21">#REF!</definedName>
    <definedName name="LISTA" localSheetId="2">#REF!</definedName>
    <definedName name="LISTA" localSheetId="20">#REF!</definedName>
    <definedName name="LISTA" localSheetId="11">#REF!</definedName>
    <definedName name="LISTA" localSheetId="19">#REF!</definedName>
    <definedName name="LISTA" localSheetId="3">#REF!</definedName>
    <definedName name="LISTA" localSheetId="4">#REF!</definedName>
    <definedName name="LISTA" localSheetId="5">#REF!</definedName>
    <definedName name="LISTA" localSheetId="13">#REF!</definedName>
    <definedName name="LISTA" localSheetId="9">#REF!</definedName>
    <definedName name="LISTA" localSheetId="12">#REF!</definedName>
    <definedName name="LISTA" localSheetId="16">#REF!</definedName>
    <definedName name="LISTA" localSheetId="6">#REF!</definedName>
    <definedName name="LISTA" localSheetId="8">#REF!</definedName>
    <definedName name="LISTA" localSheetId="10">#REF!</definedName>
    <definedName name="LISTA">#REF!</definedName>
    <definedName name="MANTENIMIENTO" localSheetId="0">#REF!</definedName>
    <definedName name="MANTENIMIENTO" localSheetId="1">#REF!</definedName>
    <definedName name="MANTENIMIENTO" localSheetId="17">#REF!</definedName>
    <definedName name="MANTENIMIENTO" localSheetId="7">#REF!</definedName>
    <definedName name="MANTENIMIENTO" localSheetId="18">#REF!</definedName>
    <definedName name="MANTENIMIENTO" localSheetId="21">#REF!</definedName>
    <definedName name="MANTENIMIENTO" localSheetId="2">#REF!</definedName>
    <definedName name="MANTENIMIENTO" localSheetId="20">#REF!</definedName>
    <definedName name="MANTENIMIENTO" localSheetId="11">#REF!</definedName>
    <definedName name="MANTENIMIENTO" localSheetId="19">#REF!</definedName>
    <definedName name="MANTENIMIENTO" localSheetId="3">#REF!</definedName>
    <definedName name="MANTENIMIENTO" localSheetId="4">#REF!</definedName>
    <definedName name="MANTENIMIENTO" localSheetId="5">#REF!</definedName>
    <definedName name="MANTENIMIENTO" localSheetId="13">#REF!</definedName>
    <definedName name="MANTENIMIENTO" localSheetId="9">#REF!</definedName>
    <definedName name="MANTENIMIENTO" localSheetId="12">#REF!</definedName>
    <definedName name="MANTENIMIENTO" localSheetId="16">#REF!</definedName>
    <definedName name="MANTENIMIENTO" localSheetId="6">#REF!</definedName>
    <definedName name="MANTENIMIENTO" localSheetId="8">#REF!</definedName>
    <definedName name="MANTENIMIENTO" localSheetId="10">#REF!</definedName>
    <definedName name="MANTENIMIENTO">#REF!</definedName>
    <definedName name="NUMERACION" localSheetId="0">#REF!</definedName>
    <definedName name="NUMERACION" localSheetId="1">#REF!</definedName>
    <definedName name="NUMERACION" localSheetId="17">#REF!</definedName>
    <definedName name="NUMERACION" localSheetId="7">#REF!</definedName>
    <definedName name="NUMERACION" localSheetId="18">#REF!</definedName>
    <definedName name="NUMERACION" localSheetId="21">#REF!</definedName>
    <definedName name="NUMERACION" localSheetId="2">#REF!</definedName>
    <definedName name="NUMERACION" localSheetId="20">#REF!</definedName>
    <definedName name="NUMERACION" localSheetId="11">#REF!</definedName>
    <definedName name="NUMERACION" localSheetId="19">#REF!</definedName>
    <definedName name="NUMERACION" localSheetId="3">#REF!</definedName>
    <definedName name="NUMERACION" localSheetId="4">#REF!</definedName>
    <definedName name="NUMERACION" localSheetId="5">#REF!</definedName>
    <definedName name="NUMERACION" localSheetId="13">#REF!</definedName>
    <definedName name="NUMERACION" localSheetId="9">#REF!</definedName>
    <definedName name="NUMERACION" localSheetId="12">#REF!</definedName>
    <definedName name="NUMERACION" localSheetId="16">#REF!</definedName>
    <definedName name="NUMERACION" localSheetId="6">#REF!</definedName>
    <definedName name="NUMERACION" localSheetId="8">#REF!</definedName>
    <definedName name="NUMERACION" localSheetId="10">#REF!</definedName>
    <definedName name="NUMERACION">#REF!</definedName>
    <definedName name="SINO" localSheetId="0">#REF!</definedName>
    <definedName name="SINO" localSheetId="1">#REF!</definedName>
    <definedName name="SINO" localSheetId="17">#REF!</definedName>
    <definedName name="SINO" localSheetId="7">#REF!</definedName>
    <definedName name="SINO" localSheetId="18">#REF!</definedName>
    <definedName name="SINO" localSheetId="21">#REF!</definedName>
    <definedName name="SINO" localSheetId="2">#REF!</definedName>
    <definedName name="SINO" localSheetId="20">#REF!</definedName>
    <definedName name="SINO" localSheetId="11">#REF!</definedName>
    <definedName name="SINO" localSheetId="19">#REF!</definedName>
    <definedName name="SINO" localSheetId="3">#REF!</definedName>
    <definedName name="SINO" localSheetId="4">#REF!</definedName>
    <definedName name="SINO" localSheetId="5">#REF!</definedName>
    <definedName name="SINO" localSheetId="13">#REF!</definedName>
    <definedName name="SINO" localSheetId="9">#REF!</definedName>
    <definedName name="SINO" localSheetId="12">#REF!</definedName>
    <definedName name="SINO" localSheetId="16">#REF!</definedName>
    <definedName name="SINO" localSheetId="6">#REF!</definedName>
    <definedName name="SINO" localSheetId="8">#REF!</definedName>
    <definedName name="SINO" localSheetId="10">#REF!</definedName>
    <definedName name="SINO">#REF!</definedName>
    <definedName name="SUCURSALES">MAESTRO!$A$1:$A$21</definedName>
    <definedName name="TIENDAS" localSheetId="0">#REF!</definedName>
    <definedName name="TIENDAS" localSheetId="1">#REF!</definedName>
    <definedName name="TIENDAS" localSheetId="17">#REF!</definedName>
    <definedName name="TIENDAS" localSheetId="7">#REF!</definedName>
    <definedName name="TIENDAS" localSheetId="18">#REF!</definedName>
    <definedName name="TIENDAS" localSheetId="21">#REF!</definedName>
    <definedName name="TIENDAS" localSheetId="2">#REF!</definedName>
    <definedName name="TIENDAS" localSheetId="20">#REF!</definedName>
    <definedName name="TIENDAS" localSheetId="11">#REF!</definedName>
    <definedName name="TIENDAS" localSheetId="19">#REF!</definedName>
    <definedName name="TIENDAS" localSheetId="3">#REF!</definedName>
    <definedName name="TIENDAS" localSheetId="4">#REF!</definedName>
    <definedName name="TIENDAS" localSheetId="5">#REF!</definedName>
    <definedName name="TIENDAS" localSheetId="13">#REF!</definedName>
    <definedName name="TIENDAS" localSheetId="9">#REF!</definedName>
    <definedName name="TIENDAS" localSheetId="12">#REF!</definedName>
    <definedName name="TIENDAS" localSheetId="16">#REF!</definedName>
    <definedName name="TIENDAS" localSheetId="6">#REF!</definedName>
    <definedName name="TIENDAS" localSheetId="8">#REF!</definedName>
    <definedName name="TIENDAS" localSheetId="10">#REF!</definedName>
    <definedName name="TIENDA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1" i="107" l="1"/>
  <c r="K60" i="107"/>
  <c r="K59" i="107"/>
  <c r="K58" i="107"/>
  <c r="K57" i="107"/>
  <c r="K56" i="107"/>
  <c r="K55" i="107"/>
  <c r="K54" i="107"/>
  <c r="K53" i="107"/>
  <c r="K52" i="107"/>
  <c r="K51" i="107"/>
  <c r="K50" i="107"/>
  <c r="K49" i="107"/>
  <c r="K48" i="107"/>
  <c r="K47" i="107"/>
  <c r="K46" i="107"/>
  <c r="K45" i="107"/>
  <c r="K44" i="107"/>
  <c r="K43" i="107"/>
  <c r="K42" i="107"/>
  <c r="K41" i="107"/>
  <c r="G30" i="107"/>
  <c r="G29" i="107"/>
  <c r="G28" i="107"/>
  <c r="G27" i="107"/>
  <c r="G26" i="107"/>
  <c r="G25" i="107"/>
  <c r="G24" i="107"/>
  <c r="G23" i="107"/>
  <c r="G15" i="107"/>
  <c r="G14" i="107"/>
  <c r="G13" i="107"/>
  <c r="G12" i="107"/>
  <c r="G11" i="107"/>
  <c r="G10" i="107"/>
  <c r="G9" i="107"/>
  <c r="K61" i="106"/>
  <c r="K60" i="106"/>
  <c r="K59" i="106"/>
  <c r="K58" i="106"/>
  <c r="K57" i="106"/>
  <c r="K56" i="106"/>
  <c r="K55" i="106"/>
  <c r="K54" i="106"/>
  <c r="K53" i="106"/>
  <c r="K52" i="106"/>
  <c r="K51" i="106"/>
  <c r="K50" i="106"/>
  <c r="K49" i="106"/>
  <c r="K48" i="106"/>
  <c r="K47" i="106"/>
  <c r="K46" i="106"/>
  <c r="K45" i="106"/>
  <c r="K44" i="106"/>
  <c r="K43" i="106"/>
  <c r="K42" i="106"/>
  <c r="K41" i="106"/>
  <c r="G29" i="106"/>
  <c r="G28" i="106"/>
  <c r="G27" i="106"/>
  <c r="G26" i="106"/>
  <c r="G25" i="106"/>
  <c r="G24" i="106"/>
  <c r="G30" i="106" s="1"/>
  <c r="G23" i="106"/>
  <c r="G15" i="106"/>
  <c r="G14" i="106"/>
  <c r="G13" i="106"/>
  <c r="G12" i="106"/>
  <c r="G11" i="106"/>
  <c r="G10" i="106"/>
  <c r="G9" i="106"/>
  <c r="K61" i="105"/>
  <c r="K59" i="105"/>
  <c r="K58" i="105"/>
  <c r="K57" i="105"/>
  <c r="K56" i="105"/>
  <c r="K55" i="105"/>
  <c r="K54" i="105"/>
  <c r="K53" i="105"/>
  <c r="K52" i="105"/>
  <c r="K51" i="105"/>
  <c r="K50" i="105"/>
  <c r="K49" i="105"/>
  <c r="K48" i="105"/>
  <c r="K47" i="105"/>
  <c r="K46" i="105"/>
  <c r="K45" i="105"/>
  <c r="K44" i="105"/>
  <c r="K43" i="105"/>
  <c r="K42" i="105"/>
  <c r="K41" i="105"/>
  <c r="G29" i="105"/>
  <c r="G28" i="105"/>
  <c r="G27" i="105"/>
  <c r="G26" i="105"/>
  <c r="G25" i="105"/>
  <c r="G24" i="105"/>
  <c r="G23" i="105"/>
  <c r="G15" i="105"/>
  <c r="G14" i="105"/>
  <c r="G13" i="105"/>
  <c r="G12" i="105"/>
  <c r="G11" i="105"/>
  <c r="G10" i="105"/>
  <c r="G9" i="105"/>
  <c r="W53" i="81"/>
  <c r="W54" i="81" s="1"/>
  <c r="W18" i="81"/>
  <c r="W30" i="81"/>
  <c r="W33" i="81"/>
  <c r="W34" i="81" s="1"/>
  <c r="W41" i="81"/>
  <c r="W42" i="81" s="1"/>
  <c r="W50" i="81"/>
  <c r="W55" i="81"/>
  <c r="W52" i="81"/>
  <c r="W51" i="81"/>
  <c r="W49" i="81"/>
  <c r="W48" i="81"/>
  <c r="W47" i="81"/>
  <c r="W45" i="81"/>
  <c r="W44" i="81"/>
  <c r="W43" i="81"/>
  <c r="W40" i="81"/>
  <c r="W39" i="81"/>
  <c r="W37" i="81"/>
  <c r="W38" i="81" s="1"/>
  <c r="W36" i="81"/>
  <c r="W35" i="81"/>
  <c r="W32" i="81"/>
  <c r="W31" i="81"/>
  <c r="W29" i="81"/>
  <c r="W28" i="81"/>
  <c r="W27" i="81"/>
  <c r="W25" i="81"/>
  <c r="W26" i="81" s="1"/>
  <c r="W24" i="81"/>
  <c r="W23" i="81"/>
  <c r="W21" i="81"/>
  <c r="W22" i="81" s="1"/>
  <c r="W20" i="81"/>
  <c r="W19" i="81"/>
  <c r="W17" i="81"/>
  <c r="W16" i="81"/>
  <c r="W15" i="81"/>
  <c r="W13" i="81"/>
  <c r="W12" i="81"/>
  <c r="W11" i="81"/>
  <c r="W9" i="81"/>
  <c r="W10" i="81" s="1"/>
  <c r="W8" i="81"/>
  <c r="W7" i="81"/>
  <c r="W5" i="81"/>
  <c r="W4" i="81"/>
  <c r="W3" i="81"/>
  <c r="W56" i="81"/>
  <c r="W57" i="81"/>
  <c r="W58" i="81" s="1"/>
  <c r="K61" i="85"/>
  <c r="K59" i="85"/>
  <c r="K58" i="85"/>
  <c r="K57" i="85"/>
  <c r="K56" i="85"/>
  <c r="K55" i="85"/>
  <c r="K54" i="85"/>
  <c r="K53" i="85"/>
  <c r="K52" i="85"/>
  <c r="K51" i="85"/>
  <c r="K50" i="85"/>
  <c r="K49" i="85"/>
  <c r="K48" i="85"/>
  <c r="K47" i="85"/>
  <c r="K46" i="85"/>
  <c r="K45" i="85"/>
  <c r="K44" i="85"/>
  <c r="K43" i="85"/>
  <c r="K42" i="85"/>
  <c r="K41" i="85"/>
  <c r="G29" i="85"/>
  <c r="G28" i="85"/>
  <c r="G27" i="85"/>
  <c r="G26" i="85"/>
  <c r="G25" i="85"/>
  <c r="G24" i="85"/>
  <c r="G23" i="85"/>
  <c r="G15" i="85"/>
  <c r="G14" i="85"/>
  <c r="G13" i="85"/>
  <c r="G12" i="85"/>
  <c r="G11" i="85"/>
  <c r="G10" i="85"/>
  <c r="G9" i="85"/>
  <c r="G30" i="105" l="1"/>
  <c r="W6" i="81"/>
  <c r="W46" i="81"/>
  <c r="W14" i="81"/>
  <c r="W59" i="81"/>
  <c r="G30" i="85"/>
  <c r="V57" i="81"/>
  <c r="V56" i="81"/>
  <c r="V55" i="81"/>
  <c r="V53" i="81"/>
  <c r="V52" i="81"/>
  <c r="V54" i="81" s="1"/>
  <c r="V51" i="81"/>
  <c r="V49" i="81"/>
  <c r="V50" i="81" s="1"/>
  <c r="V48" i="81"/>
  <c r="V47" i="81"/>
  <c r="V45" i="81"/>
  <c r="V44" i="81"/>
  <c r="V43" i="81"/>
  <c r="V46" i="81"/>
  <c r="V41" i="81"/>
  <c r="V40" i="81"/>
  <c r="V39" i="81"/>
  <c r="V37" i="81"/>
  <c r="V36" i="81"/>
  <c r="V38" i="81" s="1"/>
  <c r="V33" i="81"/>
  <c r="V32" i="81"/>
  <c r="V34" i="81" s="1"/>
  <c r="V35" i="81"/>
  <c r="V31" i="81"/>
  <c r="V29" i="81"/>
  <c r="V28" i="81"/>
  <c r="V27" i="81"/>
  <c r="V25" i="81"/>
  <c r="V24" i="81"/>
  <c r="V26" i="81" s="1"/>
  <c r="V23" i="81"/>
  <c r="V21" i="81"/>
  <c r="V20" i="81"/>
  <c r="V19" i="81"/>
  <c r="V17" i="81"/>
  <c r="V16" i="81"/>
  <c r="V15" i="81"/>
  <c r="V12" i="81"/>
  <c r="V11" i="81"/>
  <c r="V8" i="81"/>
  <c r="V7" i="81"/>
  <c r="V13" i="81"/>
  <c r="V14" i="81" s="1"/>
  <c r="V42" i="81"/>
  <c r="V22" i="81"/>
  <c r="V9" i="81"/>
  <c r="V5" i="81"/>
  <c r="V4" i="81"/>
  <c r="V6" i="81" s="1"/>
  <c r="V3" i="81"/>
  <c r="V10" i="81" l="1"/>
  <c r="V18" i="81"/>
  <c r="V58" i="81"/>
  <c r="V30" i="81"/>
  <c r="V59" i="81"/>
  <c r="K61" i="84"/>
  <c r="K59" i="84"/>
  <c r="K58" i="84"/>
  <c r="K57" i="84"/>
  <c r="K56" i="84"/>
  <c r="K55" i="84"/>
  <c r="K54" i="84"/>
  <c r="K53" i="84"/>
  <c r="K52" i="84"/>
  <c r="K51" i="84"/>
  <c r="K50" i="84"/>
  <c r="K49" i="84"/>
  <c r="K48" i="84"/>
  <c r="K47" i="84"/>
  <c r="K46" i="84"/>
  <c r="K45" i="84"/>
  <c r="K44" i="84"/>
  <c r="K43" i="84"/>
  <c r="K42" i="84"/>
  <c r="K41" i="84"/>
  <c r="G29" i="84"/>
  <c r="G28" i="84"/>
  <c r="G27" i="84"/>
  <c r="G26" i="84"/>
  <c r="G25" i="84"/>
  <c r="G24" i="84"/>
  <c r="G23" i="84"/>
  <c r="G15" i="84"/>
  <c r="G14" i="84"/>
  <c r="G13" i="84"/>
  <c r="G12" i="84"/>
  <c r="G11" i="84"/>
  <c r="G10" i="84"/>
  <c r="G9" i="84"/>
  <c r="G30" i="84" l="1"/>
  <c r="U57" i="81"/>
  <c r="U56" i="81"/>
  <c r="U55" i="81"/>
  <c r="U53" i="81"/>
  <c r="U52" i="81"/>
  <c r="U51" i="81"/>
  <c r="U49" i="81"/>
  <c r="U48" i="81"/>
  <c r="U47" i="81"/>
  <c r="U45" i="81"/>
  <c r="U44" i="81"/>
  <c r="U43" i="81"/>
  <c r="U39" i="81"/>
  <c r="U41" i="81"/>
  <c r="U40" i="81"/>
  <c r="U37" i="81"/>
  <c r="U36" i="81"/>
  <c r="U35" i="81"/>
  <c r="U33" i="81"/>
  <c r="U32" i="81"/>
  <c r="U31" i="81"/>
  <c r="U29" i="81"/>
  <c r="U28" i="81"/>
  <c r="U27" i="81"/>
  <c r="U25" i="81"/>
  <c r="U24" i="81"/>
  <c r="U23" i="81"/>
  <c r="U21" i="81"/>
  <c r="U20" i="81"/>
  <c r="U19" i="81"/>
  <c r="U17" i="81"/>
  <c r="U16" i="81"/>
  <c r="U15" i="81"/>
  <c r="U13" i="81"/>
  <c r="U12" i="81"/>
  <c r="U11" i="81"/>
  <c r="U9" i="81"/>
  <c r="U8" i="81"/>
  <c r="U7" i="81"/>
  <c r="U5" i="81"/>
  <c r="U4" i="81"/>
  <c r="U3" i="81"/>
  <c r="T57" i="81"/>
  <c r="T56" i="81"/>
  <c r="T55" i="81"/>
  <c r="T53" i="81"/>
  <c r="T52" i="81"/>
  <c r="T51" i="81"/>
  <c r="T49" i="81"/>
  <c r="T48" i="81"/>
  <c r="T47" i="81"/>
  <c r="T45" i="81"/>
  <c r="T44" i="81"/>
  <c r="T43" i="81"/>
  <c r="T41" i="81"/>
  <c r="T40" i="81"/>
  <c r="T39" i="81"/>
  <c r="T37" i="81"/>
  <c r="T36" i="81"/>
  <c r="T35" i="81"/>
  <c r="T33" i="81"/>
  <c r="T32" i="81"/>
  <c r="T31" i="81"/>
  <c r="T29" i="81"/>
  <c r="T28" i="81"/>
  <c r="T27" i="81"/>
  <c r="T25" i="81"/>
  <c r="T24" i="81"/>
  <c r="T23" i="81"/>
  <c r="T21" i="81"/>
  <c r="T20" i="81"/>
  <c r="T19" i="81"/>
  <c r="T17" i="81"/>
  <c r="T16" i="81"/>
  <c r="T15" i="81"/>
  <c r="T13" i="81"/>
  <c r="T12" i="81"/>
  <c r="T11" i="81"/>
  <c r="T9" i="81"/>
  <c r="T8" i="81"/>
  <c r="T7" i="81"/>
  <c r="T5" i="81"/>
  <c r="S56" i="81"/>
  <c r="S55" i="81"/>
  <c r="S57" i="81"/>
  <c r="S53" i="81"/>
  <c r="S52" i="81"/>
  <c r="S51" i="81"/>
  <c r="S49" i="81"/>
  <c r="S48" i="81"/>
  <c r="S47" i="81"/>
  <c r="S45" i="81"/>
  <c r="S44" i="81"/>
  <c r="S43" i="81"/>
  <c r="S41" i="81"/>
  <c r="S40" i="81"/>
  <c r="S39" i="81"/>
  <c r="S37" i="81"/>
  <c r="S38" i="81" s="1"/>
  <c r="S36" i="81"/>
  <c r="S35" i="81"/>
  <c r="S33" i="81"/>
  <c r="S32" i="81"/>
  <c r="S31" i="81"/>
  <c r="S29" i="81"/>
  <c r="S28" i="81"/>
  <c r="S27" i="81"/>
  <c r="S25" i="81"/>
  <c r="S24" i="81"/>
  <c r="S23" i="81"/>
  <c r="S21" i="81"/>
  <c r="S20" i="81"/>
  <c r="S19" i="81"/>
  <c r="S17" i="81"/>
  <c r="S16" i="81"/>
  <c r="S15" i="81"/>
  <c r="S13" i="81"/>
  <c r="S12" i="81"/>
  <c r="S11" i="81"/>
  <c r="S9" i="81"/>
  <c r="S8" i="81"/>
  <c r="S7" i="81"/>
  <c r="S5" i="81"/>
  <c r="S4" i="81"/>
  <c r="S3" i="81"/>
  <c r="R57" i="81"/>
  <c r="R56" i="81"/>
  <c r="R55" i="81"/>
  <c r="R53" i="81"/>
  <c r="R52" i="81"/>
  <c r="R51" i="81"/>
  <c r="R49" i="81"/>
  <c r="R48" i="81"/>
  <c r="R47" i="81"/>
  <c r="R45" i="81"/>
  <c r="R44" i="81"/>
  <c r="R43" i="81"/>
  <c r="R41" i="81"/>
  <c r="R40" i="81"/>
  <c r="R39" i="81"/>
  <c r="R37" i="81"/>
  <c r="R36" i="81"/>
  <c r="R35" i="81"/>
  <c r="R33" i="81"/>
  <c r="R32" i="81"/>
  <c r="R31" i="81"/>
  <c r="R29" i="81"/>
  <c r="R28" i="81"/>
  <c r="R27" i="81"/>
  <c r="R25" i="81"/>
  <c r="R24" i="81"/>
  <c r="R23" i="81"/>
  <c r="R21" i="81"/>
  <c r="R20" i="81"/>
  <c r="R19" i="81"/>
  <c r="R17" i="81"/>
  <c r="R16" i="81"/>
  <c r="R15" i="81"/>
  <c r="R13" i="81"/>
  <c r="R12" i="81"/>
  <c r="R11" i="81"/>
  <c r="R9" i="81"/>
  <c r="R8" i="81"/>
  <c r="R7" i="81"/>
  <c r="R5" i="81"/>
  <c r="R4" i="81"/>
  <c r="R3" i="81"/>
  <c r="Q57" i="81"/>
  <c r="Q56" i="81"/>
  <c r="Q55" i="81"/>
  <c r="Q53" i="81"/>
  <c r="Q52" i="81"/>
  <c r="Q51" i="81"/>
  <c r="Q49" i="81"/>
  <c r="Q48" i="81"/>
  <c r="Q47" i="81"/>
  <c r="Q45" i="81"/>
  <c r="Q44" i="81"/>
  <c r="Q43" i="81"/>
  <c r="Q41" i="81"/>
  <c r="Q40" i="81"/>
  <c r="Q39" i="81"/>
  <c r="Q37" i="81"/>
  <c r="Q36" i="81"/>
  <c r="Q35" i="81"/>
  <c r="Q33" i="81"/>
  <c r="Q32" i="81"/>
  <c r="Q31" i="81"/>
  <c r="Q29" i="81"/>
  <c r="Q28" i="81"/>
  <c r="Q27" i="81"/>
  <c r="Q25" i="81"/>
  <c r="Q24" i="81"/>
  <c r="Q23" i="81"/>
  <c r="Q21" i="81"/>
  <c r="Q20" i="81"/>
  <c r="Q19" i="81"/>
  <c r="Q17" i="81"/>
  <c r="Q16" i="81"/>
  <c r="Q15" i="81"/>
  <c r="Q13" i="81"/>
  <c r="Q12" i="81"/>
  <c r="Q11" i="81"/>
  <c r="Q9" i="81"/>
  <c r="Q8" i="81"/>
  <c r="Q7" i="81"/>
  <c r="Q5" i="81"/>
  <c r="Q4" i="81"/>
  <c r="Q3" i="81"/>
  <c r="P57" i="81"/>
  <c r="P56" i="81"/>
  <c r="P55" i="81"/>
  <c r="P53" i="81"/>
  <c r="P52" i="81"/>
  <c r="P51" i="81"/>
  <c r="P49" i="81"/>
  <c r="P48" i="81"/>
  <c r="P47" i="81"/>
  <c r="P45" i="81"/>
  <c r="P44" i="81"/>
  <c r="P43" i="81"/>
  <c r="P41" i="81"/>
  <c r="P40" i="81"/>
  <c r="P39" i="81"/>
  <c r="P37" i="81"/>
  <c r="P36" i="81"/>
  <c r="P35" i="81"/>
  <c r="P33" i="81"/>
  <c r="P32" i="81"/>
  <c r="P31" i="81"/>
  <c r="P29" i="81"/>
  <c r="P28" i="81"/>
  <c r="P27" i="81"/>
  <c r="P25" i="81"/>
  <c r="P24" i="81"/>
  <c r="P23" i="81"/>
  <c r="P21" i="81"/>
  <c r="P20" i="81"/>
  <c r="P19" i="81"/>
  <c r="P17" i="81"/>
  <c r="P16" i="81"/>
  <c r="P15" i="81"/>
  <c r="P13" i="81"/>
  <c r="P12" i="81"/>
  <c r="P11" i="81"/>
  <c r="P9" i="81"/>
  <c r="P8" i="81"/>
  <c r="P7" i="81"/>
  <c r="P5" i="81"/>
  <c r="P4" i="81"/>
  <c r="P3" i="81"/>
  <c r="O57" i="81"/>
  <c r="O56" i="81"/>
  <c r="O55" i="81"/>
  <c r="O53" i="81"/>
  <c r="O52" i="81"/>
  <c r="O51" i="81"/>
  <c r="O49" i="81"/>
  <c r="O48" i="81"/>
  <c r="O47" i="81"/>
  <c r="O45" i="81"/>
  <c r="O44" i="81"/>
  <c r="O43" i="81"/>
  <c r="O41" i="81"/>
  <c r="O40" i="81"/>
  <c r="O39" i="81"/>
  <c r="O37" i="81"/>
  <c r="O36" i="81"/>
  <c r="O35" i="81"/>
  <c r="O33" i="81"/>
  <c r="O32" i="81"/>
  <c r="O31" i="81"/>
  <c r="O29" i="81"/>
  <c r="O28" i="81"/>
  <c r="O27" i="81"/>
  <c r="O25" i="81"/>
  <c r="O24" i="81"/>
  <c r="O23" i="81"/>
  <c r="O21" i="81"/>
  <c r="O20" i="81"/>
  <c r="O19" i="81"/>
  <c r="O17" i="81"/>
  <c r="O16" i="81"/>
  <c r="O15" i="81"/>
  <c r="O13" i="81"/>
  <c r="O12" i="81"/>
  <c r="O11" i="81"/>
  <c r="O9" i="81"/>
  <c r="O8" i="81"/>
  <c r="O7" i="81"/>
  <c r="O5" i="81"/>
  <c r="O4" i="81"/>
  <c r="O3" i="81"/>
  <c r="N57" i="81"/>
  <c r="N56" i="81"/>
  <c r="N55" i="81"/>
  <c r="N53" i="81"/>
  <c r="N52" i="81"/>
  <c r="N51" i="81"/>
  <c r="N49" i="81"/>
  <c r="N48" i="81"/>
  <c r="N47" i="81"/>
  <c r="N45" i="81"/>
  <c r="N44" i="81"/>
  <c r="N43" i="81"/>
  <c r="N41" i="81"/>
  <c r="N40" i="81"/>
  <c r="N39" i="81"/>
  <c r="N37" i="81"/>
  <c r="N36" i="81"/>
  <c r="N35" i="81"/>
  <c r="N33" i="81"/>
  <c r="N32" i="81"/>
  <c r="N31" i="81"/>
  <c r="N29" i="81"/>
  <c r="N28" i="81"/>
  <c r="N27" i="81"/>
  <c r="N25" i="81"/>
  <c r="N24" i="81"/>
  <c r="N23" i="81"/>
  <c r="N21" i="81"/>
  <c r="N20" i="81"/>
  <c r="N19" i="81"/>
  <c r="N17" i="81"/>
  <c r="N16" i="81"/>
  <c r="N15" i="81"/>
  <c r="N13" i="81"/>
  <c r="N12" i="81"/>
  <c r="N11" i="81"/>
  <c r="N9" i="81"/>
  <c r="N8" i="81"/>
  <c r="N7" i="81"/>
  <c r="N5" i="81"/>
  <c r="N4" i="81"/>
  <c r="N3" i="81"/>
  <c r="M57" i="81"/>
  <c r="M56" i="81"/>
  <c r="M55" i="81"/>
  <c r="M53" i="81"/>
  <c r="M52" i="81"/>
  <c r="M51" i="81"/>
  <c r="M49" i="81"/>
  <c r="M48" i="81"/>
  <c r="M47" i="81"/>
  <c r="M45" i="81"/>
  <c r="M44" i="81"/>
  <c r="M43" i="81"/>
  <c r="M41" i="81"/>
  <c r="M40" i="81"/>
  <c r="M39" i="81"/>
  <c r="M37" i="81"/>
  <c r="M36" i="81"/>
  <c r="M35" i="81"/>
  <c r="M33" i="81"/>
  <c r="M32" i="81"/>
  <c r="M31" i="81"/>
  <c r="M29" i="81"/>
  <c r="M28" i="81"/>
  <c r="M27" i="81"/>
  <c r="M25" i="81"/>
  <c r="M24" i="81"/>
  <c r="M23" i="81"/>
  <c r="M21" i="81"/>
  <c r="M20" i="81"/>
  <c r="M19" i="81"/>
  <c r="M17" i="81"/>
  <c r="M16" i="81"/>
  <c r="M15" i="81"/>
  <c r="M13" i="81"/>
  <c r="M12" i="81"/>
  <c r="M11" i="81"/>
  <c r="M9" i="81"/>
  <c r="M8" i="81"/>
  <c r="M7" i="81"/>
  <c r="M5" i="81"/>
  <c r="M4" i="81"/>
  <c r="M3" i="81"/>
  <c r="L57" i="81"/>
  <c r="L56" i="81"/>
  <c r="L55" i="81"/>
  <c r="L53" i="81"/>
  <c r="L52" i="81"/>
  <c r="L51" i="81"/>
  <c r="L49" i="81"/>
  <c r="L48" i="81"/>
  <c r="L47" i="81"/>
  <c r="L45" i="81"/>
  <c r="L44" i="81"/>
  <c r="L43" i="81"/>
  <c r="L41" i="81"/>
  <c r="L40" i="81"/>
  <c r="L39" i="81"/>
  <c r="L37" i="81"/>
  <c r="L36" i="81"/>
  <c r="L35" i="81"/>
  <c r="L33" i="81"/>
  <c r="L31" i="81"/>
  <c r="L32" i="81"/>
  <c r="L29" i="81"/>
  <c r="L28" i="81"/>
  <c r="L27" i="81"/>
  <c r="L25" i="81"/>
  <c r="L24" i="81"/>
  <c r="L23" i="81"/>
  <c r="L21" i="81"/>
  <c r="L20" i="81"/>
  <c r="L19" i="81"/>
  <c r="L17" i="81"/>
  <c r="L16" i="81"/>
  <c r="L15" i="81"/>
  <c r="L13" i="81"/>
  <c r="L12" i="81"/>
  <c r="L11" i="81"/>
  <c r="L9" i="81"/>
  <c r="L8" i="81"/>
  <c r="L7" i="81"/>
  <c r="L5" i="81"/>
  <c r="L4" i="81"/>
  <c r="L3" i="81"/>
  <c r="K57" i="81"/>
  <c r="K56" i="81"/>
  <c r="K55" i="81"/>
  <c r="K53" i="81"/>
  <c r="K52" i="81"/>
  <c r="K51" i="81"/>
  <c r="K49" i="81"/>
  <c r="K48" i="81"/>
  <c r="K47" i="81"/>
  <c r="K45" i="81"/>
  <c r="K44" i="81"/>
  <c r="K43" i="81"/>
  <c r="K41" i="81"/>
  <c r="K40" i="81"/>
  <c r="K39" i="81"/>
  <c r="K37" i="81"/>
  <c r="K36" i="81"/>
  <c r="K35" i="81"/>
  <c r="K33" i="81"/>
  <c r="K32" i="81"/>
  <c r="K31" i="81"/>
  <c r="K29" i="81"/>
  <c r="K28" i="81"/>
  <c r="K27" i="81"/>
  <c r="K25" i="81"/>
  <c r="K24" i="81"/>
  <c r="K23" i="81"/>
  <c r="K21" i="81"/>
  <c r="K20" i="81"/>
  <c r="K19" i="81"/>
  <c r="K17" i="81"/>
  <c r="K16" i="81"/>
  <c r="K15" i="81"/>
  <c r="K13" i="81"/>
  <c r="K12" i="81"/>
  <c r="K11" i="81"/>
  <c r="K9" i="81"/>
  <c r="K8" i="81"/>
  <c r="K7" i="81"/>
  <c r="K5" i="81"/>
  <c r="K4" i="81"/>
  <c r="K3" i="81"/>
  <c r="J57" i="81"/>
  <c r="J56" i="81"/>
  <c r="J55" i="81"/>
  <c r="J53" i="81"/>
  <c r="J52" i="81"/>
  <c r="J51" i="81"/>
  <c r="J49" i="81"/>
  <c r="J48" i="81"/>
  <c r="J47" i="81"/>
  <c r="J45" i="81"/>
  <c r="J44" i="81"/>
  <c r="J43" i="81"/>
  <c r="J41" i="81"/>
  <c r="J40" i="81"/>
  <c r="J39" i="81"/>
  <c r="J37" i="81"/>
  <c r="J36" i="81"/>
  <c r="J35" i="81"/>
  <c r="J33" i="81"/>
  <c r="J32" i="81"/>
  <c r="J31" i="81"/>
  <c r="J29" i="81"/>
  <c r="J28" i="81"/>
  <c r="J27" i="81"/>
  <c r="J25" i="81"/>
  <c r="J24" i="81"/>
  <c r="J23" i="81"/>
  <c r="J21" i="81"/>
  <c r="J20" i="81"/>
  <c r="J19" i="81"/>
  <c r="J17" i="81"/>
  <c r="J16" i="81"/>
  <c r="J15" i="81"/>
  <c r="J13" i="81"/>
  <c r="J12" i="81"/>
  <c r="J11" i="81"/>
  <c r="J9" i="81"/>
  <c r="J8" i="81"/>
  <c r="J7" i="81"/>
  <c r="J5" i="81"/>
  <c r="J4" i="81"/>
  <c r="J3" i="81"/>
  <c r="I57" i="81"/>
  <c r="I56" i="81"/>
  <c r="I55" i="81"/>
  <c r="I53" i="81"/>
  <c r="I52" i="81"/>
  <c r="I51" i="81"/>
  <c r="I49" i="81"/>
  <c r="I48" i="81"/>
  <c r="I47" i="81"/>
  <c r="I45" i="81"/>
  <c r="I44" i="81"/>
  <c r="I43" i="81"/>
  <c r="I41" i="81"/>
  <c r="I40" i="81"/>
  <c r="I39" i="81"/>
  <c r="I37" i="81"/>
  <c r="I36" i="81"/>
  <c r="I35" i="81"/>
  <c r="I33" i="81"/>
  <c r="I32" i="81"/>
  <c r="I31" i="81"/>
  <c r="I29" i="81"/>
  <c r="I28" i="81"/>
  <c r="I27" i="81"/>
  <c r="I25" i="81"/>
  <c r="I24" i="81"/>
  <c r="I23" i="81"/>
  <c r="I21" i="81"/>
  <c r="I20" i="81"/>
  <c r="I19" i="81"/>
  <c r="I17" i="81"/>
  <c r="I16" i="81"/>
  <c r="I15" i="81"/>
  <c r="I13" i="81"/>
  <c r="I12" i="81"/>
  <c r="I11" i="81"/>
  <c r="I9" i="81"/>
  <c r="I8" i="81"/>
  <c r="I7" i="81"/>
  <c r="I5" i="81"/>
  <c r="I4" i="81"/>
  <c r="H57" i="81"/>
  <c r="H56" i="81"/>
  <c r="H55" i="81"/>
  <c r="H53" i="81"/>
  <c r="H52" i="81"/>
  <c r="H51" i="81"/>
  <c r="H49" i="81"/>
  <c r="H48" i="81"/>
  <c r="H47" i="81"/>
  <c r="H45" i="81"/>
  <c r="H44" i="81"/>
  <c r="H43" i="81"/>
  <c r="H41" i="81"/>
  <c r="H40" i="81"/>
  <c r="H39" i="81"/>
  <c r="H37" i="81"/>
  <c r="H36" i="81"/>
  <c r="H35" i="81"/>
  <c r="H33" i="81"/>
  <c r="H32" i="81"/>
  <c r="H31" i="81"/>
  <c r="H29" i="81"/>
  <c r="H28" i="81"/>
  <c r="H27" i="81"/>
  <c r="H25" i="81"/>
  <c r="H24" i="81"/>
  <c r="H23" i="81"/>
  <c r="H21" i="81"/>
  <c r="H20" i="81"/>
  <c r="H19" i="81"/>
  <c r="I3" i="81"/>
  <c r="H17" i="81"/>
  <c r="H16" i="81"/>
  <c r="H15" i="81"/>
  <c r="R42" i="81" l="1"/>
  <c r="U38" i="81"/>
  <c r="P14" i="81"/>
  <c r="T30" i="81"/>
  <c r="H42" i="81"/>
  <c r="J34" i="81"/>
  <c r="T54" i="81"/>
  <c r="U30" i="81"/>
  <c r="U42" i="81"/>
  <c r="H13" i="81"/>
  <c r="H12" i="81"/>
  <c r="H11" i="81"/>
  <c r="H9" i="81"/>
  <c r="H8" i="81"/>
  <c r="H7" i="81"/>
  <c r="H5" i="81"/>
  <c r="H4" i="81"/>
  <c r="H3" i="81"/>
  <c r="G57" i="81"/>
  <c r="G56" i="81"/>
  <c r="G55" i="81"/>
  <c r="G53" i="81"/>
  <c r="G52" i="81"/>
  <c r="G51" i="81"/>
  <c r="G49" i="81"/>
  <c r="G48" i="81"/>
  <c r="G47" i="81"/>
  <c r="G45" i="81"/>
  <c r="G44" i="81"/>
  <c r="G43" i="81"/>
  <c r="G41" i="81"/>
  <c r="G40" i="81"/>
  <c r="G39" i="81"/>
  <c r="G37" i="81"/>
  <c r="G36" i="81"/>
  <c r="G35" i="81"/>
  <c r="H34" i="81"/>
  <c r="I34" i="81"/>
  <c r="K34" i="81"/>
  <c r="L34" i="81"/>
  <c r="M34" i="81"/>
  <c r="N34" i="81"/>
  <c r="O34" i="81"/>
  <c r="P34" i="81"/>
  <c r="Q34" i="81"/>
  <c r="R34" i="81"/>
  <c r="S34" i="81"/>
  <c r="T34" i="81"/>
  <c r="U34" i="81"/>
  <c r="F34" i="81"/>
  <c r="G33" i="81"/>
  <c r="G32" i="81"/>
  <c r="G31" i="81"/>
  <c r="G29" i="81"/>
  <c r="G28" i="81"/>
  <c r="G27" i="81"/>
  <c r="G25" i="81"/>
  <c r="G24" i="81"/>
  <c r="G23" i="81"/>
  <c r="G21" i="81"/>
  <c r="G20" i="81"/>
  <c r="G19" i="81"/>
  <c r="G17" i="81"/>
  <c r="G16" i="81"/>
  <c r="G15" i="81"/>
  <c r="G13" i="81"/>
  <c r="G12" i="81"/>
  <c r="G11" i="81"/>
  <c r="G9" i="81"/>
  <c r="G8" i="81"/>
  <c r="G7" i="81"/>
  <c r="G5" i="81"/>
  <c r="G4" i="81"/>
  <c r="F4" i="81"/>
  <c r="E57" i="81"/>
  <c r="E56" i="81"/>
  <c r="E55" i="81"/>
  <c r="E53" i="81"/>
  <c r="E52" i="81"/>
  <c r="E51" i="81"/>
  <c r="E49" i="81"/>
  <c r="E48" i="81"/>
  <c r="E47" i="81"/>
  <c r="E45" i="81"/>
  <c r="E44" i="81"/>
  <c r="E43" i="81"/>
  <c r="E41" i="81"/>
  <c r="E40" i="81"/>
  <c r="E39" i="81"/>
  <c r="E37" i="81"/>
  <c r="E36" i="81"/>
  <c r="E35" i="81"/>
  <c r="E33" i="81"/>
  <c r="E32" i="81"/>
  <c r="E31" i="81"/>
  <c r="E29" i="81"/>
  <c r="E30" i="81" s="1"/>
  <c r="E28" i="81"/>
  <c r="E27" i="81"/>
  <c r="E25" i="81"/>
  <c r="E24" i="81"/>
  <c r="E23" i="81"/>
  <c r="E21" i="81"/>
  <c r="E20" i="81"/>
  <c r="E19" i="81"/>
  <c r="E17" i="81"/>
  <c r="E16" i="81"/>
  <c r="E15" i="81"/>
  <c r="E13" i="81"/>
  <c r="E12" i="81"/>
  <c r="E11" i="81"/>
  <c r="E9" i="81"/>
  <c r="E8" i="81"/>
  <c r="E7" i="81"/>
  <c r="D57" i="81"/>
  <c r="D56" i="81"/>
  <c r="D55" i="81"/>
  <c r="D53" i="81"/>
  <c r="D52" i="81"/>
  <c r="D51" i="81"/>
  <c r="D49" i="81"/>
  <c r="D48" i="81"/>
  <c r="D47" i="81"/>
  <c r="D45" i="81"/>
  <c r="D44" i="81"/>
  <c r="D43" i="81"/>
  <c r="D41" i="81"/>
  <c r="D39" i="81"/>
  <c r="D40" i="81"/>
  <c r="D37" i="81"/>
  <c r="D36" i="81"/>
  <c r="D35" i="81"/>
  <c r="D33" i="81"/>
  <c r="D32" i="81"/>
  <c r="D31" i="81"/>
  <c r="D29" i="81"/>
  <c r="D28" i="81"/>
  <c r="D27" i="81"/>
  <c r="D25" i="81"/>
  <c r="D24" i="81"/>
  <c r="D23" i="81"/>
  <c r="D21" i="81"/>
  <c r="D20" i="81"/>
  <c r="D19" i="81"/>
  <c r="D17" i="81"/>
  <c r="D16" i="81"/>
  <c r="D15" i="81"/>
  <c r="D13" i="81"/>
  <c r="D12" i="81"/>
  <c r="D11" i="81"/>
  <c r="D9" i="81"/>
  <c r="D8" i="81"/>
  <c r="D7" i="81"/>
  <c r="C57" i="81"/>
  <c r="C56" i="81"/>
  <c r="C55" i="81"/>
  <c r="C53" i="81"/>
  <c r="C52" i="81"/>
  <c r="C51" i="81"/>
  <c r="C49" i="81"/>
  <c r="C48" i="81"/>
  <c r="C47" i="81"/>
  <c r="C45" i="81"/>
  <c r="C44" i="81"/>
  <c r="C43" i="81"/>
  <c r="C41" i="81"/>
  <c r="C40" i="81"/>
  <c r="C39" i="81"/>
  <c r="D3" i="81"/>
  <c r="C37" i="81"/>
  <c r="C36" i="81"/>
  <c r="C35" i="81"/>
  <c r="C33" i="81"/>
  <c r="C32" i="81"/>
  <c r="C31" i="81"/>
  <c r="C29" i="81"/>
  <c r="C28" i="81"/>
  <c r="C27" i="81"/>
  <c r="C25" i="81"/>
  <c r="C24" i="81"/>
  <c r="C23" i="81"/>
  <c r="C21" i="81"/>
  <c r="C20" i="81"/>
  <c r="C19" i="81"/>
  <c r="C17" i="81"/>
  <c r="C16" i="81"/>
  <c r="C15" i="81"/>
  <c r="C13" i="81"/>
  <c r="C12" i="81"/>
  <c r="C11" i="81"/>
  <c r="C9" i="81"/>
  <c r="C8" i="81"/>
  <c r="C7" i="81"/>
  <c r="E26" i="81" l="1"/>
  <c r="G34" i="81"/>
  <c r="E34" i="81"/>
  <c r="D34" i="81"/>
  <c r="C34" i="81"/>
  <c r="E54" i="81"/>
  <c r="G3" i="81"/>
  <c r="F3" i="81"/>
  <c r="E5" i="81"/>
  <c r="E4" i="81"/>
  <c r="E3" i="81"/>
  <c r="T58" i="81"/>
  <c r="U58" i="81"/>
  <c r="U54" i="81"/>
  <c r="T50" i="81"/>
  <c r="U50" i="81"/>
  <c r="T46" i="81"/>
  <c r="U46" i="81"/>
  <c r="T42" i="81"/>
  <c r="T38" i="81"/>
  <c r="T26" i="81"/>
  <c r="U26" i="81"/>
  <c r="T22" i="81"/>
  <c r="U22" i="81"/>
  <c r="T18" i="81"/>
  <c r="U18" i="81"/>
  <c r="T14" i="81"/>
  <c r="U14" i="81"/>
  <c r="T10" i="81"/>
  <c r="U10" i="81"/>
  <c r="U6" i="81"/>
  <c r="T4" i="81"/>
  <c r="T6" i="81" s="1"/>
  <c r="T3" i="81"/>
  <c r="D5" i="81"/>
  <c r="D4" i="81"/>
  <c r="C5" i="81"/>
  <c r="C4" i="81"/>
  <c r="C3" i="81"/>
  <c r="U59" i="81" l="1"/>
  <c r="T59" i="81"/>
  <c r="G29" i="43"/>
  <c r="K61" i="83"/>
  <c r="K60" i="83"/>
  <c r="K59" i="83"/>
  <c r="K58" i="83"/>
  <c r="K57" i="83"/>
  <c r="K56" i="83"/>
  <c r="K55" i="83"/>
  <c r="K54" i="83"/>
  <c r="K53" i="83"/>
  <c r="K52" i="83"/>
  <c r="K51" i="83"/>
  <c r="K50" i="83"/>
  <c r="K49" i="83"/>
  <c r="K48" i="83"/>
  <c r="K47" i="83"/>
  <c r="K46" i="83"/>
  <c r="K45" i="83"/>
  <c r="K44" i="83"/>
  <c r="K43" i="83"/>
  <c r="K42" i="83"/>
  <c r="K41" i="83"/>
  <c r="G29" i="83"/>
  <c r="G28" i="83"/>
  <c r="G27" i="83"/>
  <c r="G26" i="83"/>
  <c r="G25" i="83"/>
  <c r="G24" i="83"/>
  <c r="G23" i="83"/>
  <c r="G15" i="83"/>
  <c r="G14" i="83"/>
  <c r="G13" i="83"/>
  <c r="G12" i="83"/>
  <c r="G11" i="83"/>
  <c r="G10" i="83"/>
  <c r="G9" i="83"/>
  <c r="K61" i="82"/>
  <c r="K60" i="82"/>
  <c r="K59" i="82"/>
  <c r="K58" i="82"/>
  <c r="K57" i="82"/>
  <c r="K56" i="82"/>
  <c r="K55" i="82"/>
  <c r="K54" i="82"/>
  <c r="K53" i="82"/>
  <c r="K52" i="82"/>
  <c r="K51" i="82"/>
  <c r="K50" i="82"/>
  <c r="K49" i="82"/>
  <c r="K48" i="82"/>
  <c r="K47" i="82"/>
  <c r="K46" i="82"/>
  <c r="K45" i="82"/>
  <c r="K44" i="82"/>
  <c r="K43" i="82"/>
  <c r="K42" i="82"/>
  <c r="K41" i="82"/>
  <c r="G29" i="82"/>
  <c r="G28" i="82"/>
  <c r="G27" i="82"/>
  <c r="G26" i="82"/>
  <c r="G25" i="82"/>
  <c r="G24" i="82"/>
  <c r="G23" i="82"/>
  <c r="G15" i="82"/>
  <c r="G14" i="82"/>
  <c r="G13" i="82"/>
  <c r="G12" i="82"/>
  <c r="G11" i="82"/>
  <c r="G10" i="82"/>
  <c r="G9" i="82"/>
  <c r="G30" i="83" l="1"/>
  <c r="G30" i="82"/>
  <c r="H58" i="81"/>
  <c r="E58" i="81"/>
  <c r="D30" i="81"/>
  <c r="F30" i="81"/>
  <c r="G30" i="81"/>
  <c r="H30" i="81"/>
  <c r="I30" i="81"/>
  <c r="J30" i="81"/>
  <c r="K30" i="81"/>
  <c r="L30" i="81"/>
  <c r="M30" i="81"/>
  <c r="N30" i="81"/>
  <c r="O30" i="81"/>
  <c r="P30" i="81"/>
  <c r="Q30" i="81"/>
  <c r="R30" i="81"/>
  <c r="S30" i="81"/>
  <c r="G26" i="80"/>
  <c r="G27" i="78"/>
  <c r="G26" i="79"/>
  <c r="G26" i="71"/>
  <c r="G26" i="70"/>
  <c r="G28" i="69"/>
  <c r="G26" i="68"/>
  <c r="G26" i="67"/>
  <c r="G26" i="64"/>
  <c r="G26" i="66"/>
  <c r="G27" i="66"/>
  <c r="G26" i="65"/>
  <c r="G26" i="62"/>
  <c r="G26" i="61"/>
  <c r="G26" i="60"/>
  <c r="G26" i="59"/>
  <c r="G25" i="59"/>
  <c r="G27" i="59"/>
  <c r="G26" i="58"/>
  <c r="G26" i="43"/>
  <c r="D42" i="81"/>
  <c r="E42" i="81"/>
  <c r="F42" i="81"/>
  <c r="G42" i="81"/>
  <c r="I42" i="81"/>
  <c r="J42" i="81"/>
  <c r="K42" i="81"/>
  <c r="L42" i="81"/>
  <c r="M42" i="81"/>
  <c r="N42" i="81"/>
  <c r="O42" i="81"/>
  <c r="P42" i="81"/>
  <c r="Q42" i="81"/>
  <c r="S42" i="81"/>
  <c r="C42" i="81"/>
  <c r="D58" i="81" l="1"/>
  <c r="F58" i="81"/>
  <c r="G58" i="81"/>
  <c r="I58" i="81"/>
  <c r="J58" i="81"/>
  <c r="K58" i="81"/>
  <c r="L58" i="81"/>
  <c r="M58" i="81"/>
  <c r="N58" i="81"/>
  <c r="O58" i="81"/>
  <c r="P58" i="81"/>
  <c r="Q58" i="81"/>
  <c r="R58" i="81"/>
  <c r="S58" i="81"/>
  <c r="C58" i="81"/>
  <c r="D54" i="81"/>
  <c r="F54" i="81"/>
  <c r="G54" i="81"/>
  <c r="H54" i="81"/>
  <c r="I54" i="81"/>
  <c r="J54" i="81"/>
  <c r="K54" i="81"/>
  <c r="L54" i="81"/>
  <c r="M54" i="81"/>
  <c r="N54" i="81"/>
  <c r="O54" i="81"/>
  <c r="P54" i="81"/>
  <c r="Q54" i="81"/>
  <c r="R54" i="81"/>
  <c r="S54" i="81"/>
  <c r="C54" i="81"/>
  <c r="D50" i="81"/>
  <c r="E50" i="81"/>
  <c r="F50" i="81"/>
  <c r="G50" i="81"/>
  <c r="H50" i="81"/>
  <c r="I50" i="81"/>
  <c r="J50" i="81"/>
  <c r="K50" i="81"/>
  <c r="L50" i="81"/>
  <c r="M50" i="81"/>
  <c r="N50" i="81"/>
  <c r="O50" i="81"/>
  <c r="P50" i="81"/>
  <c r="Q50" i="81"/>
  <c r="R50" i="81"/>
  <c r="S50" i="81"/>
  <c r="C50" i="81"/>
  <c r="X56" i="81"/>
  <c r="X57" i="81"/>
  <c r="X55" i="81"/>
  <c r="X52" i="81"/>
  <c r="X53" i="81"/>
  <c r="X51" i="81"/>
  <c r="X48" i="81"/>
  <c r="X49" i="81"/>
  <c r="X47" i="81"/>
  <c r="X44" i="81"/>
  <c r="X45" i="81"/>
  <c r="X43" i="81"/>
  <c r="X40" i="81"/>
  <c r="X41" i="81"/>
  <c r="X39" i="81"/>
  <c r="X36" i="81"/>
  <c r="X37" i="81"/>
  <c r="X35" i="81"/>
  <c r="X32" i="81"/>
  <c r="X33" i="81"/>
  <c r="X31" i="81"/>
  <c r="X28" i="81"/>
  <c r="X29" i="81"/>
  <c r="X27" i="81"/>
  <c r="X23" i="81"/>
  <c r="X24" i="81"/>
  <c r="X25" i="81"/>
  <c r="X16" i="81"/>
  <c r="X17" i="81"/>
  <c r="X15" i="81"/>
  <c r="X12" i="81"/>
  <c r="X13" i="81"/>
  <c r="X11" i="81"/>
  <c r="X34" i="81" l="1"/>
  <c r="X54" i="81"/>
  <c r="X42" i="81"/>
  <c r="X58" i="81"/>
  <c r="X30" i="81"/>
  <c r="X50" i="81"/>
  <c r="X8" i="81"/>
  <c r="X9" i="81"/>
  <c r="X7" i="81"/>
  <c r="X4" i="81"/>
  <c r="X5" i="81"/>
  <c r="X3" i="81"/>
  <c r="D46" i="81"/>
  <c r="E46" i="81"/>
  <c r="F46" i="81"/>
  <c r="G46" i="81"/>
  <c r="H46" i="81"/>
  <c r="I46" i="81"/>
  <c r="J46" i="81"/>
  <c r="K46" i="81"/>
  <c r="L46" i="81"/>
  <c r="M46" i="81"/>
  <c r="N46" i="81"/>
  <c r="O46" i="81"/>
  <c r="P46" i="81"/>
  <c r="Q46" i="81"/>
  <c r="R46" i="81"/>
  <c r="S46" i="81"/>
  <c r="X46" i="81"/>
  <c r="C46" i="81"/>
  <c r="D38" i="81"/>
  <c r="E38" i="81"/>
  <c r="F38" i="81"/>
  <c r="G38" i="81"/>
  <c r="H38" i="81"/>
  <c r="I38" i="81"/>
  <c r="J38" i="81"/>
  <c r="K38" i="81"/>
  <c r="L38" i="81"/>
  <c r="M38" i="81"/>
  <c r="N38" i="81"/>
  <c r="O38" i="81"/>
  <c r="P38" i="81"/>
  <c r="Q38" i="81"/>
  <c r="R38" i="81"/>
  <c r="X38" i="81"/>
  <c r="C38" i="81"/>
  <c r="C30" i="81"/>
  <c r="D26" i="81"/>
  <c r="F26" i="81"/>
  <c r="G26" i="81"/>
  <c r="H26" i="81"/>
  <c r="I26" i="81"/>
  <c r="J26" i="81"/>
  <c r="K26" i="81"/>
  <c r="L26" i="81"/>
  <c r="M26" i="81"/>
  <c r="N26" i="81"/>
  <c r="O26" i="81"/>
  <c r="P26" i="81"/>
  <c r="Q26" i="81"/>
  <c r="R26" i="81"/>
  <c r="S26" i="81"/>
  <c r="X26" i="81"/>
  <c r="C26" i="81"/>
  <c r="D22" i="81"/>
  <c r="E22" i="81"/>
  <c r="F22" i="81"/>
  <c r="G22" i="81"/>
  <c r="H22" i="81"/>
  <c r="I22" i="81"/>
  <c r="J22" i="81"/>
  <c r="K22" i="81"/>
  <c r="L22" i="81"/>
  <c r="M22" i="81"/>
  <c r="N22" i="81"/>
  <c r="O22" i="81"/>
  <c r="P22" i="81"/>
  <c r="Q22" i="81"/>
  <c r="R22" i="81"/>
  <c r="S22" i="81"/>
  <c r="X22" i="81"/>
  <c r="C22" i="81"/>
  <c r="D18" i="81"/>
  <c r="E18" i="81"/>
  <c r="F18" i="81"/>
  <c r="G18" i="81"/>
  <c r="H18" i="81"/>
  <c r="I18" i="81"/>
  <c r="J18" i="81"/>
  <c r="K18" i="81"/>
  <c r="L18" i="81"/>
  <c r="M18" i="81"/>
  <c r="N18" i="81"/>
  <c r="O18" i="81"/>
  <c r="P18" i="81"/>
  <c r="Q18" i="81"/>
  <c r="R18" i="81"/>
  <c r="S18" i="81"/>
  <c r="X18" i="81"/>
  <c r="C18" i="81"/>
  <c r="D14" i="81"/>
  <c r="E14" i="81"/>
  <c r="F14" i="81"/>
  <c r="G14" i="81"/>
  <c r="H14" i="81"/>
  <c r="I14" i="81"/>
  <c r="J14" i="81"/>
  <c r="K14" i="81"/>
  <c r="L14" i="81"/>
  <c r="M14" i="81"/>
  <c r="N14" i="81"/>
  <c r="O14" i="81"/>
  <c r="Q14" i="81"/>
  <c r="R14" i="81"/>
  <c r="S14" i="81"/>
  <c r="X14" i="81"/>
  <c r="C14" i="81"/>
  <c r="D10" i="81"/>
  <c r="E10" i="81"/>
  <c r="F10" i="81"/>
  <c r="G10" i="81"/>
  <c r="H10" i="81"/>
  <c r="I10" i="81"/>
  <c r="J10" i="81"/>
  <c r="K10" i="81"/>
  <c r="L10" i="81"/>
  <c r="M10" i="81"/>
  <c r="N10" i="81"/>
  <c r="O10" i="81"/>
  <c r="P10" i="81"/>
  <c r="Q10" i="81"/>
  <c r="R10" i="81"/>
  <c r="S10" i="81"/>
  <c r="C10" i="81"/>
  <c r="D6" i="81"/>
  <c r="E6" i="81"/>
  <c r="F6" i="81"/>
  <c r="G6" i="81"/>
  <c r="H6" i="81"/>
  <c r="I6" i="81"/>
  <c r="J6" i="81"/>
  <c r="K6" i="81"/>
  <c r="L6" i="81"/>
  <c r="M6" i="81"/>
  <c r="N6" i="81"/>
  <c r="O6" i="81"/>
  <c r="P6" i="81"/>
  <c r="Q6" i="81"/>
  <c r="R6" i="81"/>
  <c r="S6" i="81"/>
  <c r="C6" i="81"/>
  <c r="Q59" i="81" l="1"/>
  <c r="X6" i="81"/>
  <c r="F59" i="81"/>
  <c r="J59" i="81"/>
  <c r="C59" i="81"/>
  <c r="M59" i="81"/>
  <c r="I59" i="81"/>
  <c r="K59" i="81"/>
  <c r="R59" i="81"/>
  <c r="N59" i="81"/>
  <c r="S59" i="81"/>
  <c r="G59" i="81"/>
  <c r="L59" i="81"/>
  <c r="H59" i="81"/>
  <c r="P59" i="81"/>
  <c r="O59" i="81"/>
  <c r="X10" i="81"/>
  <c r="E59" i="81"/>
  <c r="D59" i="81"/>
  <c r="G9" i="69"/>
  <c r="X59" i="81" l="1"/>
  <c r="G28" i="43"/>
  <c r="K61" i="80" l="1"/>
  <c r="K60" i="80"/>
  <c r="K59" i="80"/>
  <c r="K58" i="80"/>
  <c r="K57" i="80"/>
  <c r="K56" i="80"/>
  <c r="K55" i="80"/>
  <c r="K54" i="80"/>
  <c r="K53" i="80"/>
  <c r="K52" i="80"/>
  <c r="K51" i="80"/>
  <c r="K50" i="80"/>
  <c r="K49" i="80"/>
  <c r="K48" i="80"/>
  <c r="K47" i="80"/>
  <c r="K46" i="80"/>
  <c r="K45" i="80"/>
  <c r="K44" i="80"/>
  <c r="K43" i="80"/>
  <c r="K42" i="80"/>
  <c r="K41" i="80"/>
  <c r="G29" i="80"/>
  <c r="G28" i="80"/>
  <c r="G27" i="80"/>
  <c r="G25" i="80"/>
  <c r="G24" i="80"/>
  <c r="G23" i="80"/>
  <c r="G15" i="80"/>
  <c r="G14" i="80"/>
  <c r="G13" i="80"/>
  <c r="G12" i="80"/>
  <c r="G11" i="80"/>
  <c r="G10" i="80"/>
  <c r="G9" i="80"/>
  <c r="G24" i="79"/>
  <c r="G27" i="65"/>
  <c r="G30" i="80" l="1"/>
  <c r="K62" i="78"/>
  <c r="K60" i="78"/>
  <c r="K59" i="78"/>
  <c r="K58" i="78"/>
  <c r="K57" i="78"/>
  <c r="K56" i="78"/>
  <c r="K55" i="78"/>
  <c r="K54" i="78"/>
  <c r="K53" i="78"/>
  <c r="K52" i="78"/>
  <c r="K51" i="78"/>
  <c r="K50" i="78"/>
  <c r="K49" i="78"/>
  <c r="K48" i="78"/>
  <c r="K47" i="78"/>
  <c r="K46" i="78"/>
  <c r="K45" i="78"/>
  <c r="K44" i="78"/>
  <c r="K43" i="78"/>
  <c r="K42" i="78"/>
  <c r="G30" i="78"/>
  <c r="G29" i="78"/>
  <c r="G28" i="78"/>
  <c r="G26" i="78"/>
  <c r="G25" i="78"/>
  <c r="G24" i="78"/>
  <c r="G15" i="78"/>
  <c r="G14" i="78"/>
  <c r="G13" i="78"/>
  <c r="G12" i="78"/>
  <c r="G11" i="78"/>
  <c r="G10" i="78"/>
  <c r="G9" i="78"/>
  <c r="K61" i="79"/>
  <c r="K60" i="79"/>
  <c r="K59" i="79"/>
  <c r="K58" i="79"/>
  <c r="K57" i="79"/>
  <c r="K56" i="79"/>
  <c r="K55" i="79"/>
  <c r="K54" i="79"/>
  <c r="K53" i="79"/>
  <c r="K52" i="79"/>
  <c r="K51" i="79"/>
  <c r="K50" i="79"/>
  <c r="K49" i="79"/>
  <c r="K48" i="79"/>
  <c r="K47" i="79"/>
  <c r="K46" i="79"/>
  <c r="K45" i="79"/>
  <c r="K44" i="79"/>
  <c r="K43" i="79"/>
  <c r="K42" i="79"/>
  <c r="K41" i="79"/>
  <c r="G29" i="79"/>
  <c r="G28" i="79"/>
  <c r="G27" i="79"/>
  <c r="G25" i="79"/>
  <c r="G23" i="79"/>
  <c r="G15" i="79"/>
  <c r="G14" i="79"/>
  <c r="G13" i="79"/>
  <c r="G12" i="79"/>
  <c r="G11" i="79"/>
  <c r="G10" i="79"/>
  <c r="G9" i="79"/>
  <c r="G30" i="79" l="1"/>
  <c r="G31" i="78"/>
  <c r="K61" i="71"/>
  <c r="K59" i="71"/>
  <c r="K60" i="71"/>
  <c r="K42" i="71"/>
  <c r="K43" i="71"/>
  <c r="K44" i="71"/>
  <c r="K45" i="71"/>
  <c r="K46" i="71"/>
  <c r="K47" i="71"/>
  <c r="K48" i="71"/>
  <c r="K49" i="71"/>
  <c r="K50" i="71"/>
  <c r="K51" i="71"/>
  <c r="K52" i="71"/>
  <c r="K53" i="71"/>
  <c r="K54" i="71"/>
  <c r="K55" i="71"/>
  <c r="K56" i="71"/>
  <c r="K57" i="71"/>
  <c r="K58" i="71"/>
  <c r="K41" i="71"/>
  <c r="K60" i="70"/>
  <c r="K61" i="70"/>
  <c r="K62" i="70"/>
  <c r="K42" i="70"/>
  <c r="K43" i="70"/>
  <c r="K44" i="70"/>
  <c r="K45" i="70"/>
  <c r="K46" i="70"/>
  <c r="K47" i="70"/>
  <c r="K48" i="70"/>
  <c r="K49" i="70"/>
  <c r="K50" i="70"/>
  <c r="K51" i="70"/>
  <c r="K52" i="70"/>
  <c r="K53" i="70"/>
  <c r="K54" i="70"/>
  <c r="K55" i="70"/>
  <c r="K56" i="70"/>
  <c r="K57" i="70"/>
  <c r="K58" i="70"/>
  <c r="K59" i="70"/>
  <c r="K41" i="70"/>
  <c r="K61" i="69"/>
  <c r="K62" i="69"/>
  <c r="K63" i="69"/>
  <c r="K44" i="69"/>
  <c r="K45" i="69"/>
  <c r="K46" i="69"/>
  <c r="K47" i="69"/>
  <c r="K48" i="69"/>
  <c r="K49" i="69"/>
  <c r="K50" i="69"/>
  <c r="K51" i="69"/>
  <c r="K52" i="69"/>
  <c r="K53" i="69"/>
  <c r="K54" i="69"/>
  <c r="K55" i="69"/>
  <c r="K56" i="69"/>
  <c r="K57" i="69"/>
  <c r="K58" i="69"/>
  <c r="K59" i="69"/>
  <c r="K60" i="69"/>
  <c r="K43" i="69"/>
  <c r="K42" i="68"/>
  <c r="K43" i="68"/>
  <c r="K44" i="68"/>
  <c r="K45" i="68"/>
  <c r="K46" i="68"/>
  <c r="K47" i="68"/>
  <c r="K48" i="68"/>
  <c r="K49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41" i="68"/>
  <c r="K60" i="67"/>
  <c r="K61" i="67"/>
  <c r="K42" i="67"/>
  <c r="K43" i="67"/>
  <c r="K44" i="67"/>
  <c r="K45" i="67"/>
  <c r="K46" i="67"/>
  <c r="K47" i="67"/>
  <c r="K48" i="67"/>
  <c r="K49" i="67"/>
  <c r="K50" i="67"/>
  <c r="K51" i="67"/>
  <c r="K52" i="67"/>
  <c r="K53" i="67"/>
  <c r="K54" i="67"/>
  <c r="K55" i="67"/>
  <c r="K56" i="67"/>
  <c r="K57" i="67"/>
  <c r="K58" i="67"/>
  <c r="K59" i="67"/>
  <c r="K41" i="67"/>
  <c r="K42" i="64"/>
  <c r="K43" i="64"/>
  <c r="K44" i="64"/>
  <c r="K45" i="64"/>
  <c r="K46" i="64"/>
  <c r="K47" i="64"/>
  <c r="K48" i="64"/>
  <c r="K49" i="64"/>
  <c r="K50" i="64"/>
  <c r="K51" i="64"/>
  <c r="K52" i="64"/>
  <c r="K53" i="64"/>
  <c r="K54" i="64"/>
  <c r="K55" i="64"/>
  <c r="K56" i="64"/>
  <c r="K57" i="64"/>
  <c r="K58" i="64"/>
  <c r="K59" i="64"/>
  <c r="K60" i="64"/>
  <c r="K61" i="64"/>
  <c r="K41" i="64"/>
  <c r="K61" i="66"/>
  <c r="K59" i="66"/>
  <c r="K60" i="66"/>
  <c r="K42" i="66"/>
  <c r="K43" i="66"/>
  <c r="K44" i="66"/>
  <c r="K45" i="66"/>
  <c r="K46" i="66"/>
  <c r="K47" i="66"/>
  <c r="K48" i="66"/>
  <c r="K49" i="66"/>
  <c r="K50" i="66"/>
  <c r="K51" i="66"/>
  <c r="K52" i="66"/>
  <c r="K53" i="66"/>
  <c r="K54" i="66"/>
  <c r="K55" i="66"/>
  <c r="K56" i="66"/>
  <c r="K57" i="66"/>
  <c r="K58" i="66"/>
  <c r="K41" i="66"/>
  <c r="K61" i="65"/>
  <c r="K59" i="65"/>
  <c r="K60" i="65"/>
  <c r="K42" i="65"/>
  <c r="K43" i="65"/>
  <c r="K44" i="65"/>
  <c r="K45" i="65"/>
  <c r="K46" i="65"/>
  <c r="K47" i="65"/>
  <c r="K48" i="65"/>
  <c r="K49" i="65"/>
  <c r="K50" i="65"/>
  <c r="K51" i="65"/>
  <c r="K52" i="65"/>
  <c r="K53" i="65"/>
  <c r="K54" i="65"/>
  <c r="K55" i="65"/>
  <c r="K56" i="65"/>
  <c r="K57" i="65"/>
  <c r="K58" i="65"/>
  <c r="K41" i="65"/>
  <c r="K60" i="62"/>
  <c r="K61" i="62"/>
  <c r="K42" i="62"/>
  <c r="K43" i="62"/>
  <c r="K44" i="62"/>
  <c r="K45" i="62"/>
  <c r="K46" i="62"/>
  <c r="K47" i="62"/>
  <c r="K48" i="62"/>
  <c r="K49" i="62"/>
  <c r="K50" i="62"/>
  <c r="K51" i="62"/>
  <c r="K52" i="62"/>
  <c r="K53" i="62"/>
  <c r="K54" i="62"/>
  <c r="K55" i="62"/>
  <c r="K56" i="62"/>
  <c r="K57" i="62"/>
  <c r="K58" i="62"/>
  <c r="K59" i="62"/>
  <c r="K41" i="62"/>
  <c r="K60" i="61"/>
  <c r="K61" i="61"/>
  <c r="K42" i="61"/>
  <c r="K43" i="61"/>
  <c r="K44" i="61"/>
  <c r="K45" i="61"/>
  <c r="K46" i="61"/>
  <c r="K47" i="61"/>
  <c r="K48" i="61"/>
  <c r="K49" i="61"/>
  <c r="K50" i="61"/>
  <c r="K51" i="61"/>
  <c r="K52" i="61"/>
  <c r="K53" i="61"/>
  <c r="K54" i="61"/>
  <c r="K55" i="61"/>
  <c r="K56" i="61"/>
  <c r="K57" i="61"/>
  <c r="K58" i="61"/>
  <c r="K59" i="61"/>
  <c r="K41" i="61"/>
  <c r="K60" i="60"/>
  <c r="K61" i="60"/>
  <c r="K42" i="60"/>
  <c r="K43" i="60"/>
  <c r="K44" i="60"/>
  <c r="K45" i="60"/>
  <c r="K46" i="60"/>
  <c r="K47" i="60"/>
  <c r="K48" i="60"/>
  <c r="K49" i="60"/>
  <c r="K50" i="60"/>
  <c r="K51" i="60"/>
  <c r="K52" i="60"/>
  <c r="K53" i="60"/>
  <c r="K54" i="60"/>
  <c r="K55" i="60"/>
  <c r="K56" i="60"/>
  <c r="K57" i="60"/>
  <c r="K58" i="60"/>
  <c r="K59" i="60"/>
  <c r="K41" i="60"/>
  <c r="K60" i="59"/>
  <c r="K61" i="59"/>
  <c r="K42" i="59"/>
  <c r="K43" i="59"/>
  <c r="K44" i="59"/>
  <c r="K45" i="59"/>
  <c r="K46" i="59"/>
  <c r="K47" i="59"/>
  <c r="K48" i="59"/>
  <c r="K49" i="59"/>
  <c r="K50" i="59"/>
  <c r="K51" i="59"/>
  <c r="K52" i="59"/>
  <c r="K53" i="59"/>
  <c r="K54" i="59"/>
  <c r="K55" i="59"/>
  <c r="K56" i="59"/>
  <c r="K57" i="59"/>
  <c r="K58" i="59"/>
  <c r="K59" i="59"/>
  <c r="K41" i="59"/>
  <c r="K59" i="58"/>
  <c r="K60" i="58"/>
  <c r="K60" i="43"/>
  <c r="G29" i="71" l="1"/>
  <c r="G29" i="70"/>
  <c r="G31" i="69"/>
  <c r="G29" i="68"/>
  <c r="G29" i="67"/>
  <c r="G29" i="64"/>
  <c r="G29" i="66"/>
  <c r="G29" i="65"/>
  <c r="G29" i="62"/>
  <c r="G29" i="61"/>
  <c r="G29" i="60"/>
  <c r="G29" i="59"/>
  <c r="G29" i="58"/>
  <c r="G28" i="71" l="1"/>
  <c r="G27" i="71"/>
  <c r="G25" i="71"/>
  <c r="G24" i="71"/>
  <c r="G23" i="71"/>
  <c r="G15" i="71"/>
  <c r="G14" i="71"/>
  <c r="G13" i="71"/>
  <c r="G12" i="71"/>
  <c r="G11" i="71"/>
  <c r="G10" i="71"/>
  <c r="G9" i="71"/>
  <c r="G28" i="70"/>
  <c r="G27" i="70"/>
  <c r="G25" i="70"/>
  <c r="G24" i="70"/>
  <c r="G23" i="70"/>
  <c r="G15" i="70"/>
  <c r="G14" i="70"/>
  <c r="G13" i="70"/>
  <c r="G12" i="70"/>
  <c r="G11" i="70"/>
  <c r="G10" i="70"/>
  <c r="G9" i="70"/>
  <c r="G30" i="69"/>
  <c r="G29" i="69"/>
  <c r="G27" i="69"/>
  <c r="G26" i="69"/>
  <c r="G25" i="69"/>
  <c r="G15" i="69"/>
  <c r="G14" i="69"/>
  <c r="G13" i="69"/>
  <c r="G12" i="69"/>
  <c r="G11" i="69"/>
  <c r="G10" i="69"/>
  <c r="G28" i="68"/>
  <c r="G27" i="68"/>
  <c r="G25" i="68"/>
  <c r="G24" i="68"/>
  <c r="G23" i="68"/>
  <c r="G15" i="68"/>
  <c r="G14" i="68"/>
  <c r="G13" i="68"/>
  <c r="G12" i="68"/>
  <c r="G11" i="68"/>
  <c r="G10" i="68"/>
  <c r="G9" i="68"/>
  <c r="G28" i="67"/>
  <c r="G27" i="67"/>
  <c r="G25" i="67"/>
  <c r="G24" i="67"/>
  <c r="G23" i="67"/>
  <c r="G15" i="67"/>
  <c r="G14" i="67"/>
  <c r="G13" i="67"/>
  <c r="G12" i="67"/>
  <c r="G11" i="67"/>
  <c r="G10" i="67"/>
  <c r="G9" i="67"/>
  <c r="G28" i="64"/>
  <c r="G27" i="64"/>
  <c r="G25" i="64"/>
  <c r="G24" i="64"/>
  <c r="G23" i="64"/>
  <c r="G15" i="64"/>
  <c r="G14" i="64"/>
  <c r="G13" i="64"/>
  <c r="G12" i="64"/>
  <c r="G11" i="64"/>
  <c r="G10" i="64"/>
  <c r="G9" i="64"/>
  <c r="G28" i="66"/>
  <c r="G25" i="66"/>
  <c r="G24" i="66"/>
  <c r="G23" i="66"/>
  <c r="G15" i="66"/>
  <c r="G14" i="66"/>
  <c r="G13" i="66"/>
  <c r="G12" i="66"/>
  <c r="G11" i="66"/>
  <c r="G10" i="66"/>
  <c r="G9" i="66"/>
  <c r="G28" i="65"/>
  <c r="G25" i="65"/>
  <c r="G24" i="65"/>
  <c r="G23" i="65"/>
  <c r="G15" i="65"/>
  <c r="G14" i="65"/>
  <c r="G13" i="65"/>
  <c r="G12" i="65"/>
  <c r="G11" i="65"/>
  <c r="G10" i="65"/>
  <c r="G9" i="65"/>
  <c r="G28" i="62"/>
  <c r="G27" i="62"/>
  <c r="G25" i="62"/>
  <c r="G24" i="62"/>
  <c r="G23" i="62"/>
  <c r="G15" i="62"/>
  <c r="G14" i="62"/>
  <c r="G13" i="62"/>
  <c r="G12" i="62"/>
  <c r="G11" i="62"/>
  <c r="G10" i="62"/>
  <c r="G9" i="62"/>
  <c r="G28" i="61"/>
  <c r="G27" i="61"/>
  <c r="G25" i="61"/>
  <c r="G24" i="61"/>
  <c r="G23" i="61"/>
  <c r="G15" i="61"/>
  <c r="G14" i="61"/>
  <c r="G13" i="61"/>
  <c r="G12" i="61"/>
  <c r="G11" i="61"/>
  <c r="G10" i="61"/>
  <c r="G9" i="61"/>
  <c r="G28" i="60"/>
  <c r="G27" i="60"/>
  <c r="G25" i="60"/>
  <c r="G24" i="60"/>
  <c r="G23" i="60"/>
  <c r="G15" i="60"/>
  <c r="G14" i="60"/>
  <c r="G13" i="60"/>
  <c r="G12" i="60"/>
  <c r="G11" i="60"/>
  <c r="G10" i="60"/>
  <c r="G9" i="60"/>
  <c r="G28" i="59"/>
  <c r="G24" i="59"/>
  <c r="G23" i="59"/>
  <c r="G15" i="59"/>
  <c r="G14" i="59"/>
  <c r="G13" i="59"/>
  <c r="G12" i="59"/>
  <c r="G11" i="59"/>
  <c r="G10" i="59"/>
  <c r="G9" i="59"/>
  <c r="G27" i="43"/>
  <c r="G25" i="43"/>
  <c r="G24" i="43"/>
  <c r="G23" i="43"/>
  <c r="G15" i="43"/>
  <c r="G14" i="43"/>
  <c r="G13" i="43"/>
  <c r="G12" i="43"/>
  <c r="G11" i="43"/>
  <c r="G10" i="43"/>
  <c r="G9" i="43"/>
  <c r="G28" i="58"/>
  <c r="G27" i="58"/>
  <c r="G25" i="58"/>
  <c r="G24" i="58"/>
  <c r="G23" i="58"/>
  <c r="G15" i="58"/>
  <c r="G14" i="58"/>
  <c r="G13" i="58"/>
  <c r="G12" i="58"/>
  <c r="G11" i="58"/>
  <c r="G10" i="58"/>
  <c r="G9" i="58"/>
  <c r="G30" i="43" l="1"/>
  <c r="G30" i="58"/>
  <c r="G30" i="61"/>
  <c r="G30" i="67"/>
  <c r="G30" i="65"/>
  <c r="G30" i="60"/>
  <c r="G30" i="59"/>
  <c r="G30" i="71"/>
  <c r="G30" i="70"/>
  <c r="G32" i="69"/>
  <c r="G30" i="68"/>
  <c r="G30" i="64"/>
  <c r="G30" i="66"/>
  <c r="G30" i="62"/>
</calcChain>
</file>

<file path=xl/sharedStrings.xml><?xml version="1.0" encoding="utf-8"?>
<sst xmlns="http://schemas.openxmlformats.org/spreadsheetml/2006/main" count="2322" uniqueCount="168">
  <si>
    <t>FECHA:</t>
  </si>
  <si>
    <t>Nº</t>
  </si>
  <si>
    <t>LA CASA DE LA CAÑA, C.A. (T. ALTERNA)</t>
  </si>
  <si>
    <t>LA CASA DE LA CAÑA, C.A. (T. NVA. BARCELONA)</t>
  </si>
  <si>
    <t>OPERADORA EL MERCADO 2011, C.A. (T. MERCADO)</t>
  </si>
  <si>
    <t>OPERADORA PUERTO LA CRUZ 2011, C.A. (T. PUERTO LA CRUZ)</t>
  </si>
  <si>
    <t>RELIVE, C.A. (T. TERRAZAS)</t>
  </si>
  <si>
    <t>RELIVE, C.A. (T. TIGRE III)</t>
  </si>
  <si>
    <t>ESCANER DE CODIGO DE BARRAS</t>
  </si>
  <si>
    <t>EQUIPOS</t>
  </si>
  <si>
    <t>TIENDAS</t>
  </si>
  <si>
    <t>RELIVE, C.A (T. TIGRE II)</t>
  </si>
  <si>
    <t>LA CASA DE LA CAÑA, C.A. (T. MATURIN II)</t>
  </si>
  <si>
    <t>LA CASA DE LA CAÑA, C.A. (T. CUMANA)</t>
  </si>
  <si>
    <t>RELIVE, C.A. (T. CHUPARIN)</t>
  </si>
  <si>
    <t>OPERADORA LECHERIA 2011, C.A. (T. LECHERIA)</t>
  </si>
  <si>
    <t>CHECK LIST DE EXISTENCIA DE EQUIPOS EN TIENDAS</t>
  </si>
  <si>
    <t>HOUSE TICKET</t>
  </si>
  <si>
    <t>SI</t>
  </si>
  <si>
    <t>NO</t>
  </si>
  <si>
    <t>SUICHE</t>
  </si>
  <si>
    <t>ROUTER</t>
  </si>
  <si>
    <t>REGULADORES</t>
  </si>
  <si>
    <t>EFECTIVIDAD</t>
  </si>
  <si>
    <t>IMPRESORAS FISCALES</t>
  </si>
  <si>
    <t>Código:</t>
  </si>
  <si>
    <t>Revisión:</t>
  </si>
  <si>
    <t>Fecha:</t>
  </si>
  <si>
    <t>MOUSE</t>
  </si>
  <si>
    <t>CPU</t>
  </si>
  <si>
    <t>MONITORES</t>
  </si>
  <si>
    <t>TECLADOS</t>
  </si>
  <si>
    <t>SUCURSAL:</t>
  </si>
  <si>
    <t>OBSERVACIONES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</si>
  <si>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</si>
  <si>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</si>
  <si>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</si>
  <si>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</si>
  <si>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</si>
  <si>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</si>
  <si>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</si>
  <si>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</si>
  <si>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</si>
  <si>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</si>
  <si>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</si>
  <si>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</si>
  <si>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</si>
  <si>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LA CASA DE LA CAÑA, C.A. (T. MATURIN I)</t>
  </si>
  <si>
    <t>LA CASA DE LA CAÑA, C.A. (T. ANACO)</t>
  </si>
  <si>
    <t>FO-MIS-03</t>
  </si>
  <si>
    <t>INVENTARIO REAL</t>
  </si>
  <si>
    <t>EQUIPOS OPERATIVOS</t>
  </si>
  <si>
    <t>INVENTARIO IDEAL</t>
  </si>
  <si>
    <t>CABLEADO</t>
  </si>
  <si>
    <t>INVENTARIO</t>
  </si>
  <si>
    <t>IMPRESORA MULTIFUNCIONAL</t>
  </si>
  <si>
    <t>MODEM</t>
  </si>
  <si>
    <t>TOTAL  DE EFECTIVIDAD DE EQUIPOS</t>
  </si>
  <si>
    <t>NOTA: El check list de Existencia de Equipos en Tiendas debe ser enviado entre los 5 primeros días del mes, vía correo electrónico al grupo Sistemas, con copia al Director de Servicios de Control.</t>
  </si>
  <si>
    <t>Realizado Por:</t>
  </si>
  <si>
    <t>DVR</t>
  </si>
  <si>
    <t>Cargo</t>
  </si>
  <si>
    <t>Nº ULT. REPORTE Z:</t>
  </si>
  <si>
    <t>SERIAL 1:</t>
  </si>
  <si>
    <t>SERIAL 2:</t>
  </si>
  <si>
    <t>SERIAL 3:</t>
  </si>
  <si>
    <t>SERIAL 4:</t>
  </si>
  <si>
    <t>SERIAL 5:</t>
  </si>
  <si>
    <t>SERIAL 6:</t>
  </si>
  <si>
    <t>SERIAL 7:</t>
  </si>
  <si>
    <t>LIBROS DE IMPRESORAS FISCALES</t>
  </si>
  <si>
    <t>LA CASA DE LA CAÑA, C.A. (T. CUMANÁ)</t>
  </si>
  <si>
    <t>LA CASA DE LA CAÑA, C.A. (T. MATURÍN I)</t>
  </si>
  <si>
    <t>LA CASA DE LA CAÑA, C.A. (T. MATURÍN II)</t>
  </si>
  <si>
    <t>OPERADORA EL PUENTE 2011, C.A. (T. PUENTE REAL)</t>
  </si>
  <si>
    <t>OPERADORA LECHERÍA 2011, C.A. (T. LECHERÍA)</t>
  </si>
  <si>
    <t>OPERADORA PUERTO ORDAZ 2013, C.A.(T. PUERTO ORDAZ)</t>
  </si>
  <si>
    <t>RELIVE, C.A. (T. CHUPARÍN)</t>
  </si>
  <si>
    <t>RELIVE, C.A. (T. TIGRE II)</t>
  </si>
  <si>
    <t>******SUCURSALES</t>
  </si>
  <si>
    <t>INVERSIONES CAÑANDONGA,C.A (T. CONEJERO)</t>
  </si>
  <si>
    <t>OPERADORA LAS AMERICAS, C.A</t>
  </si>
  <si>
    <t>OPERADORA PLAZA DEL SOL 2015, C.A</t>
  </si>
  <si>
    <t>07</t>
  </si>
  <si>
    <t>Alexander Vidal</t>
  </si>
  <si>
    <t>Lider de Tienda</t>
  </si>
  <si>
    <t>SERIAL 9:</t>
  </si>
  <si>
    <t>SERIAL 8:</t>
  </si>
  <si>
    <t>Lider De Tienda</t>
  </si>
  <si>
    <t>Lider Tienda</t>
  </si>
  <si>
    <t>Aracelis Incerri</t>
  </si>
  <si>
    <t>Ayudante Especial</t>
  </si>
  <si>
    <t>Lide Tienda</t>
  </si>
  <si>
    <t>Victor Rodriguez</t>
  </si>
  <si>
    <t>ALT</t>
  </si>
  <si>
    <t>ANA</t>
  </si>
  <si>
    <t>CUM</t>
  </si>
  <si>
    <t>MAT I</t>
  </si>
  <si>
    <t>MAT II</t>
  </si>
  <si>
    <t>NVA BNA</t>
  </si>
  <si>
    <t>CHU</t>
  </si>
  <si>
    <t>TER</t>
  </si>
  <si>
    <t>TIG II</t>
  </si>
  <si>
    <t>TIG III</t>
  </si>
  <si>
    <t>LEC</t>
  </si>
  <si>
    <t>POZ</t>
  </si>
  <si>
    <t>PTE</t>
  </si>
  <si>
    <t>PLC</t>
  </si>
  <si>
    <t>FRE</t>
  </si>
  <si>
    <t>VEN</t>
  </si>
  <si>
    <t>TOTAL</t>
  </si>
  <si>
    <t>Inv. Ideal</t>
  </si>
  <si>
    <t>Inv. Real</t>
  </si>
  <si>
    <t>Equi. Ope.</t>
  </si>
  <si>
    <t>Efect.</t>
  </si>
  <si>
    <t>DVR´S</t>
  </si>
  <si>
    <t>% Efectividad en Equipos</t>
  </si>
  <si>
    <t>RED</t>
  </si>
  <si>
    <t>PUNTOS DE VENTAS</t>
  </si>
  <si>
    <t>BOLPLC</t>
  </si>
  <si>
    <t>CHUR</t>
  </si>
  <si>
    <t>LA CASA DE LA CAÑA, C.A. (T. NVA BARCELONA)</t>
  </si>
  <si>
    <t>LA CASA DE LA CAÑA, C.A. (T. FREITES)</t>
  </si>
  <si>
    <t>LA CASA DE LA CAÑA, C.A. (T. PUENTE)</t>
  </si>
  <si>
    <t>RELIVE, C.A. (T. PLC)</t>
  </si>
  <si>
    <t>RELIVE, C.A. (T. POZUELOS)</t>
  </si>
  <si>
    <t>OPERADORA VENECIA 2021, C.A (T. VENECIA)</t>
  </si>
  <si>
    <t>OPERADORA VENECIA 2021, C.A (T. BOLIVAR PLC)</t>
  </si>
  <si>
    <t>OPERADORA VENECIA 2021, C.A (T. CHURCHILL)</t>
  </si>
  <si>
    <t>OPERADORA VENECIA 2021, C.A (T. MANSION)</t>
  </si>
  <si>
    <t>OPERADORA LECHERIA 2011, C.A</t>
  </si>
  <si>
    <t>VISOR DE VENTAS</t>
  </si>
  <si>
    <t>VISOR DE VENTA</t>
  </si>
  <si>
    <t>TOTAL DE EFECTIVIDAD DE EQUIPOS</t>
  </si>
  <si>
    <t>OPERADORA VENECIA 2021, C.A (T. REDOMA)</t>
  </si>
  <si>
    <t>No aplica</t>
  </si>
  <si>
    <t>una comandera caja 4</t>
  </si>
  <si>
    <t>2 comanderas</t>
  </si>
  <si>
    <t>Alexander Buriel</t>
  </si>
  <si>
    <t>MANS</t>
  </si>
  <si>
    <t>Victor Garcia</t>
  </si>
  <si>
    <t>LIDER TIENDA</t>
  </si>
  <si>
    <t>Lider De Ttienda</t>
  </si>
  <si>
    <t>Jose Manuel Martinez</t>
  </si>
  <si>
    <t>OPERADORA VENECIA 2021, C.A (T. EL FARO)</t>
  </si>
  <si>
    <t>Willians Acosta</t>
  </si>
  <si>
    <t>FARO</t>
  </si>
  <si>
    <t>Rudiannys Lopez</t>
  </si>
  <si>
    <t>Ramon Trocelt</t>
  </si>
  <si>
    <t>Heidi Sanabria</t>
  </si>
  <si>
    <t>Zara Campos</t>
  </si>
  <si>
    <t>Yesenia Salazar</t>
  </si>
  <si>
    <t>Joemil Salazar</t>
  </si>
  <si>
    <t>Pablo Lunar</t>
  </si>
  <si>
    <t>Jean Carlos Medina</t>
  </si>
  <si>
    <t>Joel Veliz</t>
  </si>
  <si>
    <t>Sergio Perez</t>
  </si>
  <si>
    <t>Roger Salas</t>
  </si>
  <si>
    <t>se instala lector de barra nuevo el otro malo</t>
  </si>
  <si>
    <t>Jose Arias</t>
  </si>
  <si>
    <t>Yesenia Rodriguez</t>
  </si>
  <si>
    <t>Orliannys Bello</t>
  </si>
  <si>
    <t>Jhon Gonzalez</t>
  </si>
  <si>
    <t>OPERADORA VENECIA 2021, C.A (T. BOYACA)</t>
  </si>
  <si>
    <t>OPERADORA VENECIA 2021, C.A (T. MUNICIPALPLC)</t>
  </si>
  <si>
    <t>OPERADORA VENECIA 2021, C.A (T. CRUCERO)</t>
  </si>
  <si>
    <t>Angel Cedeño</t>
  </si>
  <si>
    <t>Limber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</si>
</sst>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Tahoma"/>
      <family val="2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9" fontId="8" fillId="0" borderId="0" applyFont="0" applyFill="0" applyBorder="0" applyAlignment="0" applyProtection="0"/>
    <xf numFmtId="0" fontId="10" fillId="0" borderId="0"/>
    <xf numFmtId="0" fontId="8" fillId="0" borderId="0"/>
  </cellStyleXfs>
  <cellXfs count="226">
    <xf numFmtId="0" fontId="0" fillId="0" borderId="0" xfId="0"/>
    <xf numFmtId="0" fontId="0" fillId="0" borderId="0" xfId="0"/>
    <xf numFmtId="0" fontId="0" fillId="0" borderId="0" xfId="0" applyProtection="1"/>
    <xf numFmtId="0" fontId="0" fillId="0" borderId="0" xfId="0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 applyProtection="1">
      <alignment horizontal="center"/>
    </xf>
    <xf numFmtId="0" fontId="0" fillId="0" borderId="1" xfId="0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/>
    </xf>
    <xf numFmtId="0" fontId="1" fillId="2" borderId="8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vertical="center"/>
      <protection locked="0"/>
    </xf>
    <xf numFmtId="14" fontId="0" fillId="0" borderId="0" xfId="0" applyNumberFormat="1" applyBorder="1" applyAlignment="1" applyProtection="1">
      <alignment horizontal="center"/>
    </xf>
    <xf numFmtId="0" fontId="1" fillId="0" borderId="0" xfId="0" applyFont="1" applyBorder="1" applyAlignment="1" applyProtection="1">
      <alignment vertical="center" wrapText="1"/>
    </xf>
    <xf numFmtId="0" fontId="1" fillId="0" borderId="0" xfId="0" applyFont="1" applyAlignment="1" applyProtection="1">
      <alignment horizontal="right"/>
    </xf>
    <xf numFmtId="0" fontId="1" fillId="2" borderId="11" xfId="0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 wrapText="1"/>
    </xf>
    <xf numFmtId="0" fontId="1" fillId="0" borderId="0" xfId="0" applyFont="1" applyBorder="1" applyAlignment="1" applyProtection="1">
      <alignment horizontal="left"/>
    </xf>
    <xf numFmtId="14" fontId="0" fillId="0" borderId="0" xfId="0" applyNumberFormat="1" applyBorder="1" applyAlignment="1" applyProtection="1"/>
    <xf numFmtId="0" fontId="1" fillId="2" borderId="12" xfId="0" applyFont="1" applyFill="1" applyBorder="1" applyAlignment="1" applyProtection="1">
      <alignment horizontal="center" vertical="center" wrapText="1"/>
    </xf>
    <xf numFmtId="0" fontId="1" fillId="0" borderId="0" xfId="0" applyFont="1" applyAlignment="1">
      <alignment horizontal="center" wrapText="1"/>
    </xf>
    <xf numFmtId="9" fontId="0" fillId="0" borderId="1" xfId="1" applyFont="1" applyBorder="1" applyAlignment="1" applyProtection="1">
      <alignment horizontal="center" vertical="center" wrapText="1"/>
    </xf>
    <xf numFmtId="0" fontId="0" fillId="0" borderId="0" xfId="0" applyFill="1" applyProtection="1"/>
    <xf numFmtId="0" fontId="0" fillId="0" borderId="0" xfId="0" applyFill="1" applyBorder="1" applyAlignment="1" applyProtection="1">
      <alignment horizontal="center" vertical="center" wrapText="1"/>
      <protection locked="0"/>
    </xf>
    <xf numFmtId="0" fontId="0" fillId="0" borderId="0" xfId="0" applyFill="1" applyBorder="1" applyProtection="1"/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1" xfId="0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right" wrapText="1"/>
    </xf>
    <xf numFmtId="49" fontId="7" fillId="0" borderId="1" xfId="0" applyNumberFormat="1" applyFont="1" applyBorder="1" applyAlignment="1" applyProtection="1">
      <alignment horizontal="center" wrapText="1"/>
    </xf>
    <xf numFmtId="0" fontId="5" fillId="0" borderId="0" xfId="0" applyFont="1" applyBorder="1" applyAlignment="1" applyProtection="1">
      <alignment horizontal="right" wrapText="1"/>
    </xf>
    <xf numFmtId="14" fontId="4" fillId="0" borderId="0" xfId="0" applyNumberFormat="1" applyFont="1" applyBorder="1" applyAlignment="1" applyProtection="1">
      <alignment horizontal="center" wrapText="1"/>
    </xf>
    <xf numFmtId="0" fontId="0" fillId="0" borderId="0" xfId="0" applyFill="1" applyBorder="1" applyAlignment="1" applyProtection="1">
      <alignment horizontal="center" vertical="center"/>
    </xf>
    <xf numFmtId="0" fontId="0" fillId="0" borderId="0" xfId="0" applyFont="1" applyBorder="1" applyAlignment="1" applyProtection="1">
      <alignment horizontal="center" vertical="top" wrapText="1"/>
    </xf>
    <xf numFmtId="0" fontId="0" fillId="0" borderId="0" xfId="0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vertical="top" wrapText="1"/>
    </xf>
    <xf numFmtId="0" fontId="1" fillId="0" borderId="0" xfId="0" applyFont="1" applyFill="1" applyBorder="1" applyAlignment="1" applyProtection="1">
      <alignment wrapText="1"/>
    </xf>
    <xf numFmtId="0" fontId="0" fillId="0" borderId="0" xfId="0" applyFill="1" applyBorder="1" applyAlignment="1" applyProtection="1">
      <alignment vertical="center" wrapText="1"/>
      <protection locked="0"/>
    </xf>
    <xf numFmtId="0" fontId="1" fillId="0" borderId="0" xfId="0" applyFont="1" applyBorder="1" applyAlignment="1" applyProtection="1">
      <alignment horizontal="center"/>
    </xf>
    <xf numFmtId="0" fontId="9" fillId="0" borderId="0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</xf>
    <xf numFmtId="0" fontId="1" fillId="0" borderId="0" xfId="0" applyFont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/>
    </xf>
    <xf numFmtId="9" fontId="0" fillId="0" borderId="7" xfId="1" applyFont="1" applyBorder="1" applyAlignment="1" applyProtection="1">
      <alignment horizontal="center" vertical="center" wrapText="1"/>
    </xf>
    <xf numFmtId="0" fontId="0" fillId="0" borderId="0" xfId="0" applyBorder="1" applyAlignment="1">
      <alignment vertical="center"/>
    </xf>
    <xf numFmtId="0" fontId="3" fillId="6" borderId="1" xfId="0" applyFont="1" applyFill="1" applyBorder="1" applyProtection="1"/>
    <xf numFmtId="9" fontId="0" fillId="0" borderId="7" xfId="1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 vertical="center" wrapText="1"/>
    </xf>
    <xf numFmtId="14" fontId="7" fillId="0" borderId="1" xfId="0" applyNumberFormat="1" applyFont="1" applyBorder="1" applyAlignment="1" applyProtection="1">
      <alignment horizontal="center" wrapText="1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10" fillId="4" borderId="8" xfId="0" applyFont="1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4" borderId="1" xfId="0" applyFont="1" applyFill="1" applyBorder="1" applyAlignment="1">
      <alignment horizontal="left"/>
    </xf>
    <xf numFmtId="0" fontId="10" fillId="4" borderId="1" xfId="2" applyFont="1" applyFill="1" applyBorder="1" applyAlignment="1"/>
    <xf numFmtId="0" fontId="10" fillId="4" borderId="1" xfId="0" applyFont="1" applyFill="1" applyBorder="1" applyAlignment="1"/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/>
    <xf numFmtId="0" fontId="10" fillId="4" borderId="1" xfId="2" applyFont="1" applyFill="1" applyBorder="1"/>
    <xf numFmtId="0" fontId="10" fillId="4" borderId="1" xfId="2" applyFont="1" applyFill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8" fillId="0" borderId="1" xfId="3" applyBorder="1" applyAlignment="1" applyProtection="1">
      <alignment horizontal="left"/>
      <protection locked="0"/>
    </xf>
    <xf numFmtId="0" fontId="11" fillId="4" borderId="1" xfId="0" applyFont="1" applyFill="1" applyBorder="1" applyAlignment="1">
      <alignment horizontal="left"/>
    </xf>
    <xf numFmtId="0" fontId="10" fillId="0" borderId="1" xfId="2" applyFont="1" applyBorder="1" applyAlignment="1">
      <alignment horizontal="left"/>
    </xf>
    <xf numFmtId="0" fontId="10" fillId="0" borderId="0" xfId="0" applyFont="1"/>
    <xf numFmtId="0" fontId="10" fillId="0" borderId="1" xfId="0" applyFont="1" applyBorder="1" applyAlignment="1">
      <alignment horizontal="left"/>
    </xf>
    <xf numFmtId="0" fontId="10" fillId="0" borderId="1" xfId="2" applyFont="1" applyBorder="1" applyAlignment="1">
      <alignment horizontal="center"/>
    </xf>
    <xf numFmtId="0" fontId="10" fillId="4" borderId="1" xfId="2" applyFont="1" applyFill="1" applyBorder="1" applyAlignment="1">
      <alignment horizontal="center"/>
    </xf>
    <xf numFmtId="9" fontId="0" fillId="0" borderId="7" xfId="1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 vertical="center" wrapText="1"/>
    </xf>
    <xf numFmtId="0" fontId="0" fillId="0" borderId="0" xfId="0"/>
    <xf numFmtId="0" fontId="12" fillId="7" borderId="20" xfId="0" applyFont="1" applyFill="1" applyBorder="1" applyAlignment="1" applyProtection="1">
      <alignment horizontal="center" vertical="center" wrapText="1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 vertical="center"/>
    </xf>
    <xf numFmtId="9" fontId="0" fillId="0" borderId="7" xfId="1" applyFont="1" applyBorder="1" applyAlignment="1" applyProtection="1">
      <alignment horizontal="center" vertical="center" wrapText="1"/>
    </xf>
    <xf numFmtId="0" fontId="0" fillId="0" borderId="7" xfId="0" applyBorder="1" applyAlignment="1" applyProtection="1">
      <alignment horizontal="center" vertical="center" wrapText="1"/>
    </xf>
    <xf numFmtId="0" fontId="14" fillId="0" borderId="0" xfId="0" applyFont="1" applyProtection="1"/>
    <xf numFmtId="0" fontId="0" fillId="0" borderId="1" xfId="0" applyFill="1" applyBorder="1" applyAlignment="1" applyProtection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2" fillId="10" borderId="20" xfId="0" applyFont="1" applyFill="1" applyBorder="1" applyAlignment="1">
      <alignment horizontal="center"/>
    </xf>
    <xf numFmtId="9" fontId="12" fillId="9" borderId="20" xfId="1" applyFont="1" applyFill="1" applyBorder="1" applyAlignment="1">
      <alignment horizontal="center" vertical="center"/>
    </xf>
    <xf numFmtId="9" fontId="12" fillId="10" borderId="20" xfId="1" applyFont="1" applyFill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9" fontId="15" fillId="10" borderId="20" xfId="1" applyFont="1" applyFill="1" applyBorder="1" applyAlignment="1">
      <alignment horizontal="center" vertical="center"/>
    </xf>
    <xf numFmtId="0" fontId="12" fillId="10" borderId="20" xfId="0" applyNumberFormat="1" applyFont="1" applyFill="1" applyBorder="1" applyAlignment="1">
      <alignment horizontal="center"/>
    </xf>
    <xf numFmtId="0" fontId="12" fillId="10" borderId="20" xfId="0" applyNumberFormat="1" applyFont="1" applyFill="1" applyBorder="1" applyAlignment="1">
      <alignment horizontal="center" vertical="center"/>
    </xf>
    <xf numFmtId="9" fontId="12" fillId="8" borderId="20" xfId="0" applyNumberFormat="1" applyFont="1" applyFill="1" applyBorder="1" applyAlignment="1">
      <alignment horizontal="center" vertical="center"/>
    </xf>
    <xf numFmtId="0" fontId="3" fillId="2" borderId="20" xfId="0" applyFont="1" applyFill="1" applyBorder="1" applyAlignment="1" applyProtection="1">
      <alignment horizontal="left" vertical="center" wrapText="1"/>
    </xf>
    <xf numFmtId="0" fontId="12" fillId="9" borderId="20" xfId="0" applyFont="1" applyFill="1" applyBorder="1" applyAlignment="1" applyProtection="1">
      <alignment horizontal="right" vertical="center" wrapText="1"/>
    </xf>
    <xf numFmtId="9" fontId="0" fillId="0" borderId="7" xfId="1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 vertical="center"/>
    </xf>
    <xf numFmtId="9" fontId="0" fillId="0" borderId="7" xfId="1" applyFont="1" applyBorder="1" applyAlignment="1" applyProtection="1">
      <alignment horizontal="center" vertical="center" wrapText="1"/>
    </xf>
    <xf numFmtId="0" fontId="0" fillId="0" borderId="7" xfId="0" applyBorder="1" applyAlignment="1" applyProtection="1">
      <alignment horizontal="center" vertical="center" wrapText="1"/>
    </xf>
    <xf numFmtId="0" fontId="3" fillId="0" borderId="20" xfId="0" applyNumberFormat="1" applyFont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 vertical="center"/>
    </xf>
    <xf numFmtId="9" fontId="0" fillId="0" borderId="7" xfId="1" applyFont="1" applyBorder="1" applyAlignment="1" applyProtection="1">
      <alignment horizontal="center" vertical="center" wrapText="1"/>
    </xf>
    <xf numFmtId="0" fontId="0" fillId="0" borderId="7" xfId="0" applyBorder="1" applyAlignment="1" applyProtection="1">
      <alignment horizontal="center" vertical="center" wrapText="1"/>
    </xf>
    <xf numFmtId="0" fontId="0" fillId="0" borderId="7" xfId="0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</xf>
    <xf numFmtId="0" fontId="0" fillId="0" borderId="8" xfId="0" applyBorder="1" applyAlignment="1" applyProtection="1">
      <alignment horizontal="center" vertical="center"/>
    </xf>
    <xf numFmtId="0" fontId="0" fillId="0" borderId="2" xfId="0" applyBorder="1" applyAlignment="1" applyProtection="1">
      <alignment horizontal="left"/>
    </xf>
    <xf numFmtId="0" fontId="0" fillId="0" borderId="4" xfId="0" applyBorder="1" applyAlignment="1" applyProtection="1">
      <alignment horizontal="left"/>
    </xf>
    <xf numFmtId="0" fontId="0" fillId="0" borderId="2" xfId="0" applyBorder="1" applyAlignment="1" applyProtection="1">
      <alignment horizontal="left" vertical="center" wrapText="1"/>
    </xf>
    <xf numFmtId="0" fontId="0" fillId="0" borderId="4" xfId="0" applyBorder="1" applyAlignment="1" applyProtection="1">
      <alignment horizontal="left" vertical="center" wrapText="1"/>
    </xf>
    <xf numFmtId="0" fontId="0" fillId="0" borderId="2" xfId="0" applyBorder="1" applyAlignment="1" applyProtection="1">
      <alignment vertical="center" wrapText="1"/>
    </xf>
    <xf numFmtId="0" fontId="0" fillId="0" borderId="4" xfId="0" applyBorder="1" applyAlignment="1" applyProtection="1">
      <alignment vertical="center" wrapText="1"/>
    </xf>
    <xf numFmtId="0" fontId="0" fillId="0" borderId="2" xfId="0" applyFill="1" applyBorder="1" applyAlignment="1" applyProtection="1">
      <alignment vertical="center" wrapText="1"/>
    </xf>
    <xf numFmtId="0" fontId="0" fillId="0" borderId="4" xfId="0" applyFill="1" applyBorder="1" applyAlignment="1" applyProtection="1">
      <alignment vertical="center" wrapText="1"/>
    </xf>
    <xf numFmtId="9" fontId="0" fillId="0" borderId="7" xfId="1" applyFont="1" applyBorder="1" applyAlignment="1" applyProtection="1">
      <alignment horizontal="center" vertical="center" wrapText="1"/>
    </xf>
    <xf numFmtId="9" fontId="0" fillId="0" borderId="14" xfId="1" applyFont="1" applyBorder="1" applyAlignment="1" applyProtection="1">
      <alignment horizontal="center" vertical="center" wrapText="1"/>
    </xf>
    <xf numFmtId="9" fontId="0" fillId="0" borderId="8" xfId="1" applyFont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/>
      <protection locked="0"/>
    </xf>
    <xf numFmtId="0" fontId="3" fillId="0" borderId="3" xfId="0" applyFont="1" applyFill="1" applyBorder="1" applyAlignment="1" applyProtection="1">
      <alignment horizontal="center"/>
      <protection locked="0"/>
    </xf>
    <xf numFmtId="0" fontId="3" fillId="0" borderId="4" xfId="0" applyFon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left" vertical="center" wrapText="1"/>
    </xf>
    <xf numFmtId="0" fontId="0" fillId="0" borderId="6" xfId="0" applyBorder="1" applyAlignment="1" applyProtection="1">
      <alignment horizontal="left" vertical="center" wrapText="1"/>
    </xf>
    <xf numFmtId="0" fontId="0" fillId="0" borderId="17" xfId="0" applyBorder="1" applyAlignment="1" applyProtection="1">
      <alignment horizontal="left" vertical="center" wrapText="1"/>
    </xf>
    <xf numFmtId="0" fontId="0" fillId="0" borderId="15" xfId="0" applyBorder="1" applyAlignment="1" applyProtection="1">
      <alignment horizontal="left" vertical="center" wrapText="1"/>
    </xf>
    <xf numFmtId="0" fontId="0" fillId="0" borderId="11" xfId="0" applyBorder="1" applyAlignment="1" applyProtection="1">
      <alignment horizontal="left" vertical="center" wrapText="1"/>
    </xf>
    <xf numFmtId="0" fontId="0" fillId="0" borderId="12" xfId="0" applyBorder="1" applyAlignment="1" applyProtection="1">
      <alignment horizontal="left" vertical="center" wrapText="1"/>
    </xf>
    <xf numFmtId="0" fontId="0" fillId="0" borderId="7" xfId="0" applyBorder="1" applyAlignment="1" applyProtection="1">
      <alignment horizontal="center" vertical="center" wrapText="1"/>
    </xf>
    <xf numFmtId="0" fontId="0" fillId="0" borderId="14" xfId="0" applyBorder="1" applyAlignment="1" applyProtection="1">
      <alignment horizontal="center" vertical="center" wrapText="1"/>
    </xf>
    <xf numFmtId="0" fontId="0" fillId="0" borderId="8" xfId="0" applyBorder="1" applyAlignment="1" applyProtection="1">
      <alignment horizontal="center" vertical="center" wrapText="1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/>
    </xf>
    <xf numFmtId="0" fontId="1" fillId="2" borderId="8" xfId="0" applyFon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 wrapText="1"/>
    </xf>
    <xf numFmtId="14" fontId="0" fillId="0" borderId="18" xfId="0" applyNumberFormat="1" applyBorder="1" applyAlignment="1" applyProtection="1">
      <alignment horizontal="center"/>
      <protection locked="0"/>
    </xf>
    <xf numFmtId="0" fontId="7" fillId="0" borderId="16" xfId="0" applyFont="1" applyBorder="1" applyAlignment="1" applyProtection="1">
      <alignment horizontal="center" wrapText="1"/>
    </xf>
    <xf numFmtId="0" fontId="7" fillId="0" borderId="6" xfId="0" applyFont="1" applyBorder="1" applyAlignment="1" applyProtection="1">
      <alignment horizontal="center" wrapText="1"/>
    </xf>
    <xf numFmtId="14" fontId="7" fillId="0" borderId="2" xfId="0" applyNumberFormat="1" applyFont="1" applyBorder="1" applyAlignment="1" applyProtection="1">
      <alignment horizontal="center" wrapText="1"/>
    </xf>
    <xf numFmtId="14" fontId="7" fillId="0" borderId="4" xfId="0" applyNumberFormat="1" applyFont="1" applyBorder="1" applyAlignment="1" applyProtection="1">
      <alignment horizont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17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18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1" fillId="2" borderId="11" xfId="0" applyFont="1" applyFill="1" applyBorder="1" applyAlignment="1" applyProtection="1">
      <alignment horizontal="center" vertical="center"/>
    </xf>
    <xf numFmtId="0" fontId="1" fillId="2" borderId="12" xfId="0" applyFont="1" applyFill="1" applyBorder="1" applyAlignment="1" applyProtection="1">
      <alignment horizontal="center" vertical="center"/>
    </xf>
    <xf numFmtId="0" fontId="0" fillId="0" borderId="2" xfId="0" applyFill="1" applyBorder="1" applyAlignment="1" applyProtection="1">
      <alignment horizontal="left" vertical="center"/>
    </xf>
    <xf numFmtId="0" fontId="0" fillId="0" borderId="3" xfId="0" applyFill="1" applyBorder="1" applyAlignment="1" applyProtection="1">
      <alignment horizontal="left" vertical="center"/>
    </xf>
    <xf numFmtId="0" fontId="1" fillId="5" borderId="2" xfId="0" applyFont="1" applyFill="1" applyBorder="1" applyAlignment="1" applyProtection="1">
      <alignment horizontal="center" vertical="center"/>
    </xf>
    <xf numFmtId="0" fontId="1" fillId="5" borderId="3" xfId="0" applyFont="1" applyFill="1" applyBorder="1" applyAlignment="1" applyProtection="1">
      <alignment horizontal="center" vertical="center"/>
    </xf>
    <xf numFmtId="0" fontId="1" fillId="5" borderId="4" xfId="0" applyFont="1" applyFill="1" applyBorder="1" applyAlignment="1" applyProtection="1">
      <alignment horizontal="center" vertical="center"/>
    </xf>
    <xf numFmtId="10" fontId="1" fillId="5" borderId="2" xfId="0" applyNumberFormat="1" applyFont="1" applyFill="1" applyBorder="1" applyAlignment="1" applyProtection="1">
      <alignment horizontal="center" vertical="center"/>
    </xf>
    <xf numFmtId="10" fontId="1" fillId="5" borderId="3" xfId="0" applyNumberFormat="1" applyFont="1" applyFill="1" applyBorder="1" applyAlignment="1" applyProtection="1">
      <alignment horizontal="center" vertical="center"/>
    </xf>
    <xf numFmtId="10" fontId="1" fillId="5" borderId="4" xfId="0" applyNumberFormat="1" applyFont="1" applyFill="1" applyBorder="1" applyAlignment="1" applyProtection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5" borderId="5" xfId="0" applyFill="1" applyBorder="1" applyAlignment="1" applyProtection="1">
      <alignment horizontal="center" vertical="center" wrapText="1"/>
    </xf>
    <xf numFmtId="0" fontId="0" fillId="5" borderId="16" xfId="0" applyFill="1" applyBorder="1" applyAlignment="1" applyProtection="1">
      <alignment horizontal="center" vertical="center" wrapText="1"/>
    </xf>
    <xf numFmtId="0" fontId="0" fillId="5" borderId="6" xfId="0" applyFill="1" applyBorder="1" applyAlignment="1" applyProtection="1">
      <alignment horizontal="center" vertical="center" wrapText="1"/>
    </xf>
    <xf numFmtId="0" fontId="0" fillId="5" borderId="11" xfId="0" applyFill="1" applyBorder="1" applyAlignment="1" applyProtection="1">
      <alignment horizontal="center" vertical="center" wrapText="1"/>
    </xf>
    <xf numFmtId="0" fontId="0" fillId="5" borderId="18" xfId="0" applyFill="1" applyBorder="1" applyAlignment="1" applyProtection="1">
      <alignment horizontal="center" vertical="center" wrapText="1"/>
    </xf>
    <xf numFmtId="0" fontId="0" fillId="5" borderId="12" xfId="0" applyFill="1" applyBorder="1" applyAlignment="1" applyProtection="1">
      <alignment horizontal="center" vertical="center" wrapText="1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</xf>
    <xf numFmtId="0" fontId="1" fillId="0" borderId="4" xfId="0" applyFont="1" applyBorder="1" applyAlignment="1" applyProtection="1">
      <alignment horizontal="center"/>
    </xf>
    <xf numFmtId="0" fontId="9" fillId="0" borderId="11" xfId="0" applyFont="1" applyBorder="1" applyAlignment="1" applyProtection="1">
      <alignment horizontal="center"/>
      <protection locked="0"/>
    </xf>
    <xf numFmtId="0" fontId="9" fillId="0" borderId="12" xfId="0" applyFont="1" applyBorder="1" applyAlignment="1" applyProtection="1">
      <alignment horizontal="center"/>
      <protection locked="0"/>
    </xf>
    <xf numFmtId="0" fontId="1" fillId="0" borderId="11" xfId="0" applyFont="1" applyBorder="1" applyAlignment="1" applyProtection="1">
      <alignment horizontal="center"/>
    </xf>
    <xf numFmtId="0" fontId="1" fillId="0" borderId="12" xfId="0" applyFont="1" applyBorder="1" applyAlignment="1" applyProtection="1">
      <alignment horizontal="center"/>
    </xf>
    <xf numFmtId="0" fontId="0" fillId="5" borderId="1" xfId="0" applyFill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/>
    </xf>
    <xf numFmtId="0" fontId="9" fillId="0" borderId="1" xfId="0" applyFont="1" applyBorder="1" applyAlignment="1" applyProtection="1">
      <alignment horizontal="center"/>
      <protection locked="0"/>
    </xf>
    <xf numFmtId="0" fontId="0" fillId="0" borderId="5" xfId="0" applyFill="1" applyBorder="1" applyAlignment="1" applyProtection="1">
      <alignment vertical="center" wrapText="1"/>
    </xf>
    <xf numFmtId="0" fontId="0" fillId="0" borderId="6" xfId="0" applyFill="1" applyBorder="1" applyAlignment="1" applyProtection="1">
      <alignment vertical="center" wrapText="1"/>
    </xf>
    <xf numFmtId="0" fontId="0" fillId="0" borderId="7" xfId="0" applyBorder="1" applyAlignment="1" applyProtection="1">
      <alignment horizontal="center"/>
      <protection locked="0"/>
    </xf>
    <xf numFmtId="0" fontId="1" fillId="5" borderId="9" xfId="0" applyFont="1" applyFill="1" applyBorder="1" applyAlignment="1" applyProtection="1">
      <alignment horizontal="center" vertical="center"/>
    </xf>
    <xf numFmtId="0" fontId="1" fillId="5" borderId="10" xfId="0" applyFont="1" applyFill="1" applyBorder="1" applyAlignment="1" applyProtection="1">
      <alignment horizontal="center" vertical="center"/>
    </xf>
    <xf numFmtId="9" fontId="2" fillId="5" borderId="9" xfId="1" applyFont="1" applyFill="1" applyBorder="1" applyAlignment="1" applyProtection="1">
      <alignment horizontal="center" vertical="center" wrapText="1"/>
    </xf>
    <xf numFmtId="9" fontId="2" fillId="5" borderId="10" xfId="1" applyFont="1" applyFill="1" applyBorder="1" applyAlignment="1" applyProtection="1">
      <alignment horizontal="center" vertical="center" wrapText="1"/>
    </xf>
    <xf numFmtId="9" fontId="2" fillId="5" borderId="13" xfId="1" applyFont="1" applyFill="1" applyBorder="1" applyAlignment="1" applyProtection="1">
      <alignment horizontal="center" vertical="center" wrapText="1"/>
    </xf>
    <xf numFmtId="0" fontId="0" fillId="0" borderId="2" xfId="0" applyFill="1" applyBorder="1" applyAlignment="1" applyProtection="1">
      <alignment horizontal="center" vertical="center"/>
    </xf>
    <xf numFmtId="0" fontId="0" fillId="0" borderId="4" xfId="0" applyFill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horizontal="center" wrapText="1"/>
    </xf>
    <xf numFmtId="0" fontId="7" fillId="0" borderId="17" xfId="0" applyFont="1" applyBorder="1" applyAlignment="1" applyProtection="1">
      <alignment horizontal="center" wrapText="1"/>
    </xf>
    <xf numFmtId="0" fontId="0" fillId="0" borderId="4" xfId="0" applyFill="1" applyBorder="1" applyAlignment="1" applyProtection="1">
      <alignment horizontal="left" vertical="center"/>
    </xf>
    <xf numFmtId="14" fontId="7" fillId="0" borderId="3" xfId="0" applyNumberFormat="1" applyFont="1" applyBorder="1" applyAlignment="1" applyProtection="1">
      <alignment horizontal="center" wrapText="1"/>
    </xf>
    <xf numFmtId="0" fontId="1" fillId="5" borderId="13" xfId="0" applyFont="1" applyFill="1" applyBorder="1" applyAlignment="1" applyProtection="1">
      <alignment horizontal="center" vertical="center"/>
    </xf>
    <xf numFmtId="0" fontId="7" fillId="0" borderId="11" xfId="0" applyFont="1" applyBorder="1" applyAlignment="1" applyProtection="1">
      <alignment horizontal="center" wrapText="1"/>
    </xf>
    <xf numFmtId="0" fontId="7" fillId="0" borderId="18" xfId="0" applyFont="1" applyBorder="1" applyAlignment="1" applyProtection="1">
      <alignment horizontal="center" wrapText="1"/>
    </xf>
    <xf numFmtId="0" fontId="7" fillId="0" borderId="2" xfId="0" applyFont="1" applyBorder="1" applyAlignment="1" applyProtection="1">
      <alignment horizontal="center" wrapText="1"/>
    </xf>
    <xf numFmtId="0" fontId="7" fillId="0" borderId="3" xfId="0" applyFont="1" applyBorder="1" applyAlignment="1" applyProtection="1">
      <alignment horizontal="center" wrapText="1"/>
    </xf>
    <xf numFmtId="0" fontId="0" fillId="0" borderId="1" xfId="0" applyBorder="1" applyAlignment="1" applyProtection="1">
      <alignment horizontal="left" vertical="center" wrapText="1"/>
    </xf>
    <xf numFmtId="14" fontId="1" fillId="0" borderId="1" xfId="0" applyNumberFormat="1" applyFont="1" applyBorder="1" applyAlignment="1" applyProtection="1">
      <alignment horizontal="center"/>
      <protection locked="0"/>
    </xf>
    <xf numFmtId="0" fontId="0" fillId="0" borderId="2" xfId="0" applyFill="1" applyBorder="1" applyAlignment="1" applyProtection="1">
      <alignment horizontal="left" vertical="center" wrapText="1"/>
    </xf>
    <xf numFmtId="0" fontId="0" fillId="0" borderId="4" xfId="0" applyFill="1" applyBorder="1" applyAlignment="1" applyProtection="1">
      <alignment horizontal="left" vertical="center" wrapText="1"/>
    </xf>
    <xf numFmtId="0" fontId="3" fillId="7" borderId="20" xfId="0" applyFont="1" applyFill="1" applyBorder="1" applyAlignment="1" applyProtection="1">
      <alignment horizontal="center" vertical="center" wrapText="1"/>
    </xf>
    <xf numFmtId="0" fontId="12" fillId="8" borderId="19" xfId="0" applyFont="1" applyFill="1" applyBorder="1" applyAlignment="1">
      <alignment horizontal="center"/>
    </xf>
    <xf numFmtId="0" fontId="12" fillId="8" borderId="21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 vertical="center" wrapText="1"/>
    </xf>
    <xf numFmtId="0" fontId="13" fillId="7" borderId="20" xfId="0" applyFont="1" applyFill="1" applyBorder="1" applyAlignment="1">
      <alignment horizontal="center" vertical="center"/>
    </xf>
    <xf numFmtId="0" fontId="13" fillId="7" borderId="20" xfId="0" applyFont="1" applyFill="1" applyBorder="1" applyAlignment="1">
      <alignment horizontal="center" vertical="center" wrapText="1"/>
    </xf>
    <xf numFmtId="0" fontId="12" fillId="8" borderId="20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orcentaje" xfId="1" builtinId="5"/>
  </cellStyles>
  <dxfs count="0"/>
  <tableStyles count="0" defaultTableStyle="TableStyleMedium2" defaultPivotStyle="PivotStyleLight16"/>
  <colors>
    <mruColors>
      <color rgb="FFFFFFCC"/>
      <color rgb="FFFFCC66"/>
      <color rgb="FFFFFF99"/>
      <color rgb="FFFFCC00"/>
      <color rgb="FFCC330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1797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0A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0A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0A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00000000-0008-0000-0A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00000000-0008-0000-0A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00000000-0008-0000-0A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00000000-0008-0000-0A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00000000-0008-0000-0A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00000000-0008-0000-0A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00000000-0008-0000-0A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00000000-0008-0000-0A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00000000-0008-0000-0A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00000000-0008-0000-0A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00000000-0008-0000-0A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0" name="Imagen 9">
          <a:extLst>
            <a:ext uri="{FF2B5EF4-FFF2-40B4-BE49-F238E27FC236}">
              <a16:creationId xmlns:a16="http://schemas.microsoft.com/office/drawing/2014/main" id="{00000000-0008-0000-0A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1" name="Imagen 9">
          <a:extLst>
            <a:ext uri="{FF2B5EF4-FFF2-40B4-BE49-F238E27FC236}">
              <a16:creationId xmlns:a16="http://schemas.microsoft.com/office/drawing/2014/main" id="{00000000-0008-0000-0A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2" name="Imagen 9">
          <a:extLst>
            <a:ext uri="{FF2B5EF4-FFF2-40B4-BE49-F238E27FC236}">
              <a16:creationId xmlns:a16="http://schemas.microsoft.com/office/drawing/2014/main" id="{00000000-0008-0000-0A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3" name="Imagen 9">
          <a:extLst>
            <a:ext uri="{FF2B5EF4-FFF2-40B4-BE49-F238E27FC236}">
              <a16:creationId xmlns:a16="http://schemas.microsoft.com/office/drawing/2014/main" id="{00000000-0008-0000-0A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4" name="Imagen 9">
          <a:extLst>
            <a:ext uri="{FF2B5EF4-FFF2-40B4-BE49-F238E27FC236}">
              <a16:creationId xmlns:a16="http://schemas.microsoft.com/office/drawing/2014/main" id="{00000000-0008-0000-0A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5" name="Imagen 9">
          <a:extLst>
            <a:ext uri="{FF2B5EF4-FFF2-40B4-BE49-F238E27FC236}">
              <a16:creationId xmlns:a16="http://schemas.microsoft.com/office/drawing/2014/main" id="{00000000-0008-0000-0A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6" name="Imagen 9">
          <a:extLst>
            <a:ext uri="{FF2B5EF4-FFF2-40B4-BE49-F238E27FC236}">
              <a16:creationId xmlns:a16="http://schemas.microsoft.com/office/drawing/2014/main" id="{00000000-0008-0000-0A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00000000-0008-0000-0A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8" name="Imagen 9">
          <a:extLst>
            <a:ext uri="{FF2B5EF4-FFF2-40B4-BE49-F238E27FC236}">
              <a16:creationId xmlns:a16="http://schemas.microsoft.com/office/drawing/2014/main" id="{00000000-0008-0000-0A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9" name="Imagen 9">
          <a:extLst>
            <a:ext uri="{FF2B5EF4-FFF2-40B4-BE49-F238E27FC236}">
              <a16:creationId xmlns:a16="http://schemas.microsoft.com/office/drawing/2014/main" id="{00000000-0008-0000-0A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0" name="Imagen 9">
          <a:extLst>
            <a:ext uri="{FF2B5EF4-FFF2-40B4-BE49-F238E27FC236}">
              <a16:creationId xmlns:a16="http://schemas.microsoft.com/office/drawing/2014/main" id="{00000000-0008-0000-0A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1" name="Imagen 9">
          <a:extLst>
            <a:ext uri="{FF2B5EF4-FFF2-40B4-BE49-F238E27FC236}">
              <a16:creationId xmlns:a16="http://schemas.microsoft.com/office/drawing/2014/main" id="{00000000-0008-0000-0A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0B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0B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0B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00000000-0008-0000-0B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00000000-0008-0000-0B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00000000-0008-0000-0B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00000000-0008-0000-0B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00000000-0008-0000-0B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00000000-0008-0000-0B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00000000-0008-0000-0B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00000000-0008-0000-0B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0" name="Imagen 9">
          <a:extLst>
            <a:ext uri="{FF2B5EF4-FFF2-40B4-BE49-F238E27FC236}">
              <a16:creationId xmlns:a16="http://schemas.microsoft.com/office/drawing/2014/main" id="{00000000-0008-0000-0B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1" name="Imagen 9">
          <a:extLst>
            <a:ext uri="{FF2B5EF4-FFF2-40B4-BE49-F238E27FC236}">
              <a16:creationId xmlns:a16="http://schemas.microsoft.com/office/drawing/2014/main" id="{00000000-0008-0000-0B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2" name="Imagen 9">
          <a:extLst>
            <a:ext uri="{FF2B5EF4-FFF2-40B4-BE49-F238E27FC236}">
              <a16:creationId xmlns:a16="http://schemas.microsoft.com/office/drawing/2014/main" id="{00000000-0008-0000-0B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3" name="Imagen 9">
          <a:extLst>
            <a:ext uri="{FF2B5EF4-FFF2-40B4-BE49-F238E27FC236}">
              <a16:creationId xmlns:a16="http://schemas.microsoft.com/office/drawing/2014/main" id="{00000000-0008-0000-0B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4" name="Imagen 9">
          <a:extLst>
            <a:ext uri="{FF2B5EF4-FFF2-40B4-BE49-F238E27FC236}">
              <a16:creationId xmlns:a16="http://schemas.microsoft.com/office/drawing/2014/main" id="{00000000-0008-0000-0B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5" name="Imagen 9">
          <a:extLst>
            <a:ext uri="{FF2B5EF4-FFF2-40B4-BE49-F238E27FC236}">
              <a16:creationId xmlns:a16="http://schemas.microsoft.com/office/drawing/2014/main" id="{00000000-0008-0000-0B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6" name="Imagen 9">
          <a:extLst>
            <a:ext uri="{FF2B5EF4-FFF2-40B4-BE49-F238E27FC236}">
              <a16:creationId xmlns:a16="http://schemas.microsoft.com/office/drawing/2014/main" id="{00000000-0008-0000-0B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00000000-0008-0000-0B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8" name="Imagen 9">
          <a:extLst>
            <a:ext uri="{FF2B5EF4-FFF2-40B4-BE49-F238E27FC236}">
              <a16:creationId xmlns:a16="http://schemas.microsoft.com/office/drawing/2014/main" id="{00000000-0008-0000-0B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9" name="Imagen 9">
          <a:extLst>
            <a:ext uri="{FF2B5EF4-FFF2-40B4-BE49-F238E27FC236}">
              <a16:creationId xmlns:a16="http://schemas.microsoft.com/office/drawing/2014/main" id="{00000000-0008-0000-0B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0" name="Imagen 9">
          <a:extLst>
            <a:ext uri="{FF2B5EF4-FFF2-40B4-BE49-F238E27FC236}">
              <a16:creationId xmlns:a16="http://schemas.microsoft.com/office/drawing/2014/main" id="{00000000-0008-0000-0B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1" name="Imagen 9">
          <a:extLst>
            <a:ext uri="{FF2B5EF4-FFF2-40B4-BE49-F238E27FC236}">
              <a16:creationId xmlns:a16="http://schemas.microsoft.com/office/drawing/2014/main" id="{00000000-0008-0000-0B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2" name="Imagen 9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3" name="Imagen 9">
          <a:extLst>
            <a:ext uri="{FF2B5EF4-FFF2-40B4-BE49-F238E27FC236}">
              <a16:creationId xmlns:a16="http://schemas.microsoft.com/office/drawing/2014/main" id="{00000000-0008-0000-0B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4" name="Imagen 9">
          <a:extLst>
            <a:ext uri="{FF2B5EF4-FFF2-40B4-BE49-F238E27FC236}">
              <a16:creationId xmlns:a16="http://schemas.microsoft.com/office/drawing/2014/main" id="{00000000-0008-0000-0B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5" name="Imagen 9">
          <a:extLst>
            <a:ext uri="{FF2B5EF4-FFF2-40B4-BE49-F238E27FC236}">
              <a16:creationId xmlns:a16="http://schemas.microsoft.com/office/drawing/2014/main" id="{00000000-0008-0000-0B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6" name="Imagen 9">
          <a:extLst>
            <a:ext uri="{FF2B5EF4-FFF2-40B4-BE49-F238E27FC236}">
              <a16:creationId xmlns:a16="http://schemas.microsoft.com/office/drawing/2014/main" id="{00000000-0008-0000-0B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7" name="Imagen 9">
          <a:extLst>
            <a:ext uri="{FF2B5EF4-FFF2-40B4-BE49-F238E27FC236}">
              <a16:creationId xmlns:a16="http://schemas.microsoft.com/office/drawing/2014/main" id="{00000000-0008-0000-0B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8" name="Imagen 9">
          <a:extLst>
            <a:ext uri="{FF2B5EF4-FFF2-40B4-BE49-F238E27FC236}">
              <a16:creationId xmlns:a16="http://schemas.microsoft.com/office/drawing/2014/main" id="{00000000-0008-0000-0B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9" name="Imagen 9">
          <a:extLst>
            <a:ext uri="{FF2B5EF4-FFF2-40B4-BE49-F238E27FC236}">
              <a16:creationId xmlns:a16="http://schemas.microsoft.com/office/drawing/2014/main" id="{00000000-0008-0000-0B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0" name="Imagen 9">
          <a:extLst>
            <a:ext uri="{FF2B5EF4-FFF2-40B4-BE49-F238E27FC236}">
              <a16:creationId xmlns:a16="http://schemas.microsoft.com/office/drawing/2014/main" id="{00000000-0008-0000-0B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1" name="Imagen 9">
          <a:extLst>
            <a:ext uri="{FF2B5EF4-FFF2-40B4-BE49-F238E27FC236}">
              <a16:creationId xmlns:a16="http://schemas.microsoft.com/office/drawing/2014/main" id="{00000000-0008-0000-0B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2" name="Imagen 9">
          <a:extLst>
            <a:ext uri="{FF2B5EF4-FFF2-40B4-BE49-F238E27FC236}">
              <a16:creationId xmlns:a16="http://schemas.microsoft.com/office/drawing/2014/main" id="{00000000-0008-0000-0B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3" name="Imagen 9">
          <a:extLst>
            <a:ext uri="{FF2B5EF4-FFF2-40B4-BE49-F238E27FC236}">
              <a16:creationId xmlns:a16="http://schemas.microsoft.com/office/drawing/2014/main" id="{00000000-0008-0000-0B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4" name="Imagen 9">
          <a:extLst>
            <a:ext uri="{FF2B5EF4-FFF2-40B4-BE49-F238E27FC236}">
              <a16:creationId xmlns:a16="http://schemas.microsoft.com/office/drawing/2014/main" id="{00000000-0008-0000-0B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0C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0C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0C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0C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0C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0C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0C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0C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0C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00000000-0008-0000-0C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00000000-0008-0000-0C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00000000-0008-0000-0C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00000000-0008-0000-0C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00000000-0008-0000-0C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00000000-0008-0000-0C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00000000-0008-0000-0C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0" name="Imagen 9">
          <a:extLst>
            <a:ext uri="{FF2B5EF4-FFF2-40B4-BE49-F238E27FC236}">
              <a16:creationId xmlns:a16="http://schemas.microsoft.com/office/drawing/2014/main" id="{00000000-0008-0000-0C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1" name="Imagen 9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2" name="Imagen 9">
          <a:extLst>
            <a:ext uri="{FF2B5EF4-FFF2-40B4-BE49-F238E27FC236}">
              <a16:creationId xmlns:a16="http://schemas.microsoft.com/office/drawing/2014/main" id="{00000000-0008-0000-0C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3" name="Imagen 9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4" name="Imagen 9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5" name="Imagen 9">
          <a:extLst>
            <a:ext uri="{FF2B5EF4-FFF2-40B4-BE49-F238E27FC236}">
              <a16:creationId xmlns:a16="http://schemas.microsoft.com/office/drawing/2014/main" id="{00000000-0008-0000-0C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6" name="Imagen 9">
          <a:extLst>
            <a:ext uri="{FF2B5EF4-FFF2-40B4-BE49-F238E27FC236}">
              <a16:creationId xmlns:a16="http://schemas.microsoft.com/office/drawing/2014/main" id="{00000000-0008-0000-0C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00000000-0008-0000-0C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8" name="Imagen 9">
          <a:extLst>
            <a:ext uri="{FF2B5EF4-FFF2-40B4-BE49-F238E27FC236}">
              <a16:creationId xmlns:a16="http://schemas.microsoft.com/office/drawing/2014/main" id="{00000000-0008-0000-0C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9" name="Imagen 9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0" name="Imagen 9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1" name="Imagen 9">
          <a:extLst>
            <a:ext uri="{FF2B5EF4-FFF2-40B4-BE49-F238E27FC236}">
              <a16:creationId xmlns:a16="http://schemas.microsoft.com/office/drawing/2014/main" id="{00000000-0008-0000-0C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2" name="Imagen 9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3" name="Imagen 9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4" name="Imagen 9">
          <a:extLst>
            <a:ext uri="{FF2B5EF4-FFF2-40B4-BE49-F238E27FC236}">
              <a16:creationId xmlns:a16="http://schemas.microsoft.com/office/drawing/2014/main" id="{00000000-0008-0000-0C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5" name="Imagen 9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6" name="Imagen 9">
          <a:extLst>
            <a:ext uri="{FF2B5EF4-FFF2-40B4-BE49-F238E27FC236}">
              <a16:creationId xmlns:a16="http://schemas.microsoft.com/office/drawing/2014/main" id="{00000000-0008-0000-0C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7" name="Imagen 9">
          <a:extLst>
            <a:ext uri="{FF2B5EF4-FFF2-40B4-BE49-F238E27FC236}">
              <a16:creationId xmlns:a16="http://schemas.microsoft.com/office/drawing/2014/main" id="{00000000-0008-0000-0C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8" name="Imagen 9">
          <a:extLst>
            <a:ext uri="{FF2B5EF4-FFF2-40B4-BE49-F238E27FC236}">
              <a16:creationId xmlns:a16="http://schemas.microsoft.com/office/drawing/2014/main" id="{00000000-0008-0000-0C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9" name="Imagen 9">
          <a:extLst>
            <a:ext uri="{FF2B5EF4-FFF2-40B4-BE49-F238E27FC236}">
              <a16:creationId xmlns:a16="http://schemas.microsoft.com/office/drawing/2014/main" id="{00000000-0008-0000-0C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0" name="Imagen 9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1" name="Imagen 9">
          <a:extLst>
            <a:ext uri="{FF2B5EF4-FFF2-40B4-BE49-F238E27FC236}">
              <a16:creationId xmlns:a16="http://schemas.microsoft.com/office/drawing/2014/main" id="{00000000-0008-0000-0C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2" name="Imagen 9">
          <a:extLst>
            <a:ext uri="{FF2B5EF4-FFF2-40B4-BE49-F238E27FC236}">
              <a16:creationId xmlns:a16="http://schemas.microsoft.com/office/drawing/2014/main" id="{00000000-0008-0000-0C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3" name="Imagen 9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4" name="Imagen 9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5" name="Imagen 9">
          <a:extLst>
            <a:ext uri="{FF2B5EF4-FFF2-40B4-BE49-F238E27FC236}">
              <a16:creationId xmlns:a16="http://schemas.microsoft.com/office/drawing/2014/main" id="{00000000-0008-0000-0C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6" name="Imagen 9">
          <a:extLst>
            <a:ext uri="{FF2B5EF4-FFF2-40B4-BE49-F238E27FC236}">
              <a16:creationId xmlns:a16="http://schemas.microsoft.com/office/drawing/2014/main" id="{00000000-0008-0000-0C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7" name="Imagen 9">
          <a:extLst>
            <a:ext uri="{FF2B5EF4-FFF2-40B4-BE49-F238E27FC236}">
              <a16:creationId xmlns:a16="http://schemas.microsoft.com/office/drawing/2014/main" id="{00000000-0008-0000-0C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8" name="Imagen 9">
          <a:extLst>
            <a:ext uri="{FF2B5EF4-FFF2-40B4-BE49-F238E27FC236}">
              <a16:creationId xmlns:a16="http://schemas.microsoft.com/office/drawing/2014/main" id="{00000000-0008-0000-0C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9" name="Imagen 9">
          <a:extLst>
            <a:ext uri="{FF2B5EF4-FFF2-40B4-BE49-F238E27FC236}">
              <a16:creationId xmlns:a16="http://schemas.microsoft.com/office/drawing/2014/main" id="{00000000-0008-0000-0C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0" name="Imagen 9">
          <a:extLst>
            <a:ext uri="{FF2B5EF4-FFF2-40B4-BE49-F238E27FC236}">
              <a16:creationId xmlns:a16="http://schemas.microsoft.com/office/drawing/2014/main" id="{00000000-0008-0000-0C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1" name="Imagen 9">
          <a:extLst>
            <a:ext uri="{FF2B5EF4-FFF2-40B4-BE49-F238E27FC236}">
              <a16:creationId xmlns:a16="http://schemas.microsoft.com/office/drawing/2014/main" id="{00000000-0008-0000-0C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2" name="Imagen 9">
          <a:extLst>
            <a:ext uri="{FF2B5EF4-FFF2-40B4-BE49-F238E27FC236}">
              <a16:creationId xmlns:a16="http://schemas.microsoft.com/office/drawing/2014/main" id="{00000000-0008-0000-0C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3" name="Imagen 9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4" name="Imagen 9">
          <a:extLst>
            <a:ext uri="{FF2B5EF4-FFF2-40B4-BE49-F238E27FC236}">
              <a16:creationId xmlns:a16="http://schemas.microsoft.com/office/drawing/2014/main" id="{00000000-0008-0000-0C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5" name="Imagen 9">
          <a:extLst>
            <a:ext uri="{FF2B5EF4-FFF2-40B4-BE49-F238E27FC236}">
              <a16:creationId xmlns:a16="http://schemas.microsoft.com/office/drawing/2014/main" id="{00000000-0008-0000-0C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6" name="Imagen 9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7" name="Imagen 9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8" name="Imagen 9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0D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0D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0D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0D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0D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00000000-0008-0000-0D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00000000-0008-0000-0D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00000000-0008-0000-0D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00000000-0008-0000-0D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00000000-0008-0000-0D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00000000-0008-0000-0D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00000000-0008-0000-0D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00000000-0008-0000-0D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00000000-0008-0000-0D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00000000-0008-0000-0D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00000000-0008-0000-0D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0" name="Imagen 9">
          <a:extLst>
            <a:ext uri="{FF2B5EF4-FFF2-40B4-BE49-F238E27FC236}">
              <a16:creationId xmlns:a16="http://schemas.microsoft.com/office/drawing/2014/main" id="{00000000-0008-0000-0D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1" name="Imagen 9">
          <a:extLst>
            <a:ext uri="{FF2B5EF4-FFF2-40B4-BE49-F238E27FC236}">
              <a16:creationId xmlns:a16="http://schemas.microsoft.com/office/drawing/2014/main" id="{00000000-0008-0000-0D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2" name="Imagen 9">
          <a:extLst>
            <a:ext uri="{FF2B5EF4-FFF2-40B4-BE49-F238E27FC236}">
              <a16:creationId xmlns:a16="http://schemas.microsoft.com/office/drawing/2014/main" id="{00000000-0008-0000-0D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3" name="Imagen 9">
          <a:extLst>
            <a:ext uri="{FF2B5EF4-FFF2-40B4-BE49-F238E27FC236}">
              <a16:creationId xmlns:a16="http://schemas.microsoft.com/office/drawing/2014/main" id="{00000000-0008-0000-0D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4" name="Imagen 9">
          <a:extLst>
            <a:ext uri="{FF2B5EF4-FFF2-40B4-BE49-F238E27FC236}">
              <a16:creationId xmlns:a16="http://schemas.microsoft.com/office/drawing/2014/main" id="{00000000-0008-0000-0D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5" name="Imagen 9">
          <a:extLst>
            <a:ext uri="{FF2B5EF4-FFF2-40B4-BE49-F238E27FC236}">
              <a16:creationId xmlns:a16="http://schemas.microsoft.com/office/drawing/2014/main" id="{00000000-0008-0000-0D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6" name="Imagen 9">
          <a:extLst>
            <a:ext uri="{FF2B5EF4-FFF2-40B4-BE49-F238E27FC236}">
              <a16:creationId xmlns:a16="http://schemas.microsoft.com/office/drawing/2014/main" id="{00000000-0008-0000-0D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00000000-0008-0000-0D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8" name="Imagen 9">
          <a:extLst>
            <a:ext uri="{FF2B5EF4-FFF2-40B4-BE49-F238E27FC236}">
              <a16:creationId xmlns:a16="http://schemas.microsoft.com/office/drawing/2014/main" id="{00000000-0008-0000-0D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9" name="Imagen 9">
          <a:extLst>
            <a:ext uri="{FF2B5EF4-FFF2-40B4-BE49-F238E27FC236}">
              <a16:creationId xmlns:a16="http://schemas.microsoft.com/office/drawing/2014/main" id="{00000000-0008-0000-0D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0" name="Imagen 9">
          <a:extLst>
            <a:ext uri="{FF2B5EF4-FFF2-40B4-BE49-F238E27FC236}">
              <a16:creationId xmlns:a16="http://schemas.microsoft.com/office/drawing/2014/main" id="{00000000-0008-0000-0D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1" name="Imagen 9">
          <a:extLst>
            <a:ext uri="{FF2B5EF4-FFF2-40B4-BE49-F238E27FC236}">
              <a16:creationId xmlns:a16="http://schemas.microsoft.com/office/drawing/2014/main" id="{00000000-0008-0000-0D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2" name="Imagen 9">
          <a:extLst>
            <a:ext uri="{FF2B5EF4-FFF2-40B4-BE49-F238E27FC236}">
              <a16:creationId xmlns:a16="http://schemas.microsoft.com/office/drawing/2014/main" id="{00000000-0008-0000-0D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3" name="Imagen 9">
          <a:extLst>
            <a:ext uri="{FF2B5EF4-FFF2-40B4-BE49-F238E27FC236}">
              <a16:creationId xmlns:a16="http://schemas.microsoft.com/office/drawing/2014/main" id="{00000000-0008-0000-0D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4" name="Imagen 9">
          <a:extLst>
            <a:ext uri="{FF2B5EF4-FFF2-40B4-BE49-F238E27FC236}">
              <a16:creationId xmlns:a16="http://schemas.microsoft.com/office/drawing/2014/main" id="{00000000-0008-0000-0D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5" name="Imagen 9">
          <a:extLst>
            <a:ext uri="{FF2B5EF4-FFF2-40B4-BE49-F238E27FC236}">
              <a16:creationId xmlns:a16="http://schemas.microsoft.com/office/drawing/2014/main" id="{00000000-0008-0000-0D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6" name="Imagen 9">
          <a:extLst>
            <a:ext uri="{FF2B5EF4-FFF2-40B4-BE49-F238E27FC236}">
              <a16:creationId xmlns:a16="http://schemas.microsoft.com/office/drawing/2014/main" id="{00000000-0008-0000-0D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7" name="Imagen 9">
          <a:extLst>
            <a:ext uri="{FF2B5EF4-FFF2-40B4-BE49-F238E27FC236}">
              <a16:creationId xmlns:a16="http://schemas.microsoft.com/office/drawing/2014/main" id="{00000000-0008-0000-0D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8" name="Imagen 9">
          <a:extLst>
            <a:ext uri="{FF2B5EF4-FFF2-40B4-BE49-F238E27FC236}">
              <a16:creationId xmlns:a16="http://schemas.microsoft.com/office/drawing/2014/main" id="{00000000-0008-0000-0D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9" name="Imagen 9">
          <a:extLst>
            <a:ext uri="{FF2B5EF4-FFF2-40B4-BE49-F238E27FC236}">
              <a16:creationId xmlns:a16="http://schemas.microsoft.com/office/drawing/2014/main" id="{00000000-0008-0000-0D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0" name="Imagen 9">
          <a:extLst>
            <a:ext uri="{FF2B5EF4-FFF2-40B4-BE49-F238E27FC236}">
              <a16:creationId xmlns:a16="http://schemas.microsoft.com/office/drawing/2014/main" id="{00000000-0008-0000-0D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1" name="Imagen 9">
          <a:extLst>
            <a:ext uri="{FF2B5EF4-FFF2-40B4-BE49-F238E27FC236}">
              <a16:creationId xmlns:a16="http://schemas.microsoft.com/office/drawing/2014/main" id="{00000000-0008-0000-0D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2" name="Imagen 9">
          <a:extLst>
            <a:ext uri="{FF2B5EF4-FFF2-40B4-BE49-F238E27FC236}">
              <a16:creationId xmlns:a16="http://schemas.microsoft.com/office/drawing/2014/main" id="{00000000-0008-0000-0D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3" name="Imagen 9">
          <a:extLst>
            <a:ext uri="{FF2B5EF4-FFF2-40B4-BE49-F238E27FC236}">
              <a16:creationId xmlns:a16="http://schemas.microsoft.com/office/drawing/2014/main" id="{00000000-0008-0000-0D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4" name="Imagen 9">
          <a:extLst>
            <a:ext uri="{FF2B5EF4-FFF2-40B4-BE49-F238E27FC236}">
              <a16:creationId xmlns:a16="http://schemas.microsoft.com/office/drawing/2014/main" id="{00000000-0008-0000-0D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5" name="Imagen 9">
          <a:extLst>
            <a:ext uri="{FF2B5EF4-FFF2-40B4-BE49-F238E27FC236}">
              <a16:creationId xmlns:a16="http://schemas.microsoft.com/office/drawing/2014/main" id="{00000000-0008-0000-0D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6" name="Imagen 9">
          <a:extLst>
            <a:ext uri="{FF2B5EF4-FFF2-40B4-BE49-F238E27FC236}">
              <a16:creationId xmlns:a16="http://schemas.microsoft.com/office/drawing/2014/main" id="{00000000-0008-0000-0D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7" name="Imagen 9">
          <a:extLst>
            <a:ext uri="{FF2B5EF4-FFF2-40B4-BE49-F238E27FC236}">
              <a16:creationId xmlns:a16="http://schemas.microsoft.com/office/drawing/2014/main" id="{00000000-0008-0000-0D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8" name="Imagen 9">
          <a:extLst>
            <a:ext uri="{FF2B5EF4-FFF2-40B4-BE49-F238E27FC236}">
              <a16:creationId xmlns:a16="http://schemas.microsoft.com/office/drawing/2014/main" id="{00000000-0008-0000-0D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9" name="Imagen 9">
          <a:extLst>
            <a:ext uri="{FF2B5EF4-FFF2-40B4-BE49-F238E27FC236}">
              <a16:creationId xmlns:a16="http://schemas.microsoft.com/office/drawing/2014/main" id="{00000000-0008-0000-0D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0" name="Imagen 9">
          <a:extLst>
            <a:ext uri="{FF2B5EF4-FFF2-40B4-BE49-F238E27FC236}">
              <a16:creationId xmlns:a16="http://schemas.microsoft.com/office/drawing/2014/main" id="{00000000-0008-0000-0D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1" name="Imagen 9">
          <a:extLst>
            <a:ext uri="{FF2B5EF4-FFF2-40B4-BE49-F238E27FC236}">
              <a16:creationId xmlns:a16="http://schemas.microsoft.com/office/drawing/2014/main" id="{00000000-0008-0000-0D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2" name="Imagen 9">
          <a:extLst>
            <a:ext uri="{FF2B5EF4-FFF2-40B4-BE49-F238E27FC236}">
              <a16:creationId xmlns:a16="http://schemas.microsoft.com/office/drawing/2014/main" id="{00000000-0008-0000-0D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3" name="Imagen 9">
          <a:extLst>
            <a:ext uri="{FF2B5EF4-FFF2-40B4-BE49-F238E27FC236}">
              <a16:creationId xmlns:a16="http://schemas.microsoft.com/office/drawing/2014/main" id="{00000000-0008-0000-0D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4" name="Imagen 9">
          <a:extLst>
            <a:ext uri="{FF2B5EF4-FFF2-40B4-BE49-F238E27FC236}">
              <a16:creationId xmlns:a16="http://schemas.microsoft.com/office/drawing/2014/main" id="{00000000-0008-0000-0D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5" name="Imagen 9">
          <a:extLst>
            <a:ext uri="{FF2B5EF4-FFF2-40B4-BE49-F238E27FC236}">
              <a16:creationId xmlns:a16="http://schemas.microsoft.com/office/drawing/2014/main" id="{00000000-0008-0000-0D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6" name="Imagen 9">
          <a:extLst>
            <a:ext uri="{FF2B5EF4-FFF2-40B4-BE49-F238E27FC236}">
              <a16:creationId xmlns:a16="http://schemas.microsoft.com/office/drawing/2014/main" id="{00000000-0008-0000-0D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7" name="Imagen 9">
          <a:extLst>
            <a:ext uri="{FF2B5EF4-FFF2-40B4-BE49-F238E27FC236}">
              <a16:creationId xmlns:a16="http://schemas.microsoft.com/office/drawing/2014/main" id="{00000000-0008-0000-0D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8" name="Imagen 9">
          <a:extLst>
            <a:ext uri="{FF2B5EF4-FFF2-40B4-BE49-F238E27FC236}">
              <a16:creationId xmlns:a16="http://schemas.microsoft.com/office/drawing/2014/main" id="{00000000-0008-0000-0D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9" name="Imagen 9">
          <a:extLst>
            <a:ext uri="{FF2B5EF4-FFF2-40B4-BE49-F238E27FC236}">
              <a16:creationId xmlns:a16="http://schemas.microsoft.com/office/drawing/2014/main" id="{00000000-0008-0000-0D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0" name="Imagen 9">
          <a:extLst>
            <a:ext uri="{FF2B5EF4-FFF2-40B4-BE49-F238E27FC236}">
              <a16:creationId xmlns:a16="http://schemas.microsoft.com/office/drawing/2014/main" id="{00000000-0008-0000-0D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1" name="Imagen 9">
          <a:extLst>
            <a:ext uri="{FF2B5EF4-FFF2-40B4-BE49-F238E27FC236}">
              <a16:creationId xmlns:a16="http://schemas.microsoft.com/office/drawing/2014/main" id="{00000000-0008-0000-0D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2" name="Imagen 9">
          <a:extLst>
            <a:ext uri="{FF2B5EF4-FFF2-40B4-BE49-F238E27FC236}">
              <a16:creationId xmlns:a16="http://schemas.microsoft.com/office/drawing/2014/main" id="{00000000-0008-0000-0D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3" name="Imagen 9">
          <a:extLst>
            <a:ext uri="{FF2B5EF4-FFF2-40B4-BE49-F238E27FC236}">
              <a16:creationId xmlns:a16="http://schemas.microsoft.com/office/drawing/2014/main" id="{00000000-0008-0000-0D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4" name="Imagen 9">
          <a:extLst>
            <a:ext uri="{FF2B5EF4-FFF2-40B4-BE49-F238E27FC236}">
              <a16:creationId xmlns:a16="http://schemas.microsoft.com/office/drawing/2014/main" id="{00000000-0008-0000-0D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5" name="Imagen 9">
          <a:extLst>
            <a:ext uri="{FF2B5EF4-FFF2-40B4-BE49-F238E27FC236}">
              <a16:creationId xmlns:a16="http://schemas.microsoft.com/office/drawing/2014/main" id="{00000000-0008-0000-0D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6" name="Imagen 9">
          <a:extLst>
            <a:ext uri="{FF2B5EF4-FFF2-40B4-BE49-F238E27FC236}">
              <a16:creationId xmlns:a16="http://schemas.microsoft.com/office/drawing/2014/main" id="{00000000-0008-0000-0D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7" name="Imagen 9">
          <a:extLst>
            <a:ext uri="{FF2B5EF4-FFF2-40B4-BE49-F238E27FC236}">
              <a16:creationId xmlns:a16="http://schemas.microsoft.com/office/drawing/2014/main" id="{00000000-0008-0000-0D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8" name="Imagen 9">
          <a:extLst>
            <a:ext uri="{FF2B5EF4-FFF2-40B4-BE49-F238E27FC236}">
              <a16:creationId xmlns:a16="http://schemas.microsoft.com/office/drawing/2014/main" id="{00000000-0008-0000-0D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9" name="Imagen 9">
          <a:extLst>
            <a:ext uri="{FF2B5EF4-FFF2-40B4-BE49-F238E27FC236}">
              <a16:creationId xmlns:a16="http://schemas.microsoft.com/office/drawing/2014/main" id="{00000000-0008-0000-0D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0" name="Imagen 9">
          <a:extLst>
            <a:ext uri="{FF2B5EF4-FFF2-40B4-BE49-F238E27FC236}">
              <a16:creationId xmlns:a16="http://schemas.microsoft.com/office/drawing/2014/main" id="{00000000-0008-0000-0D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1" name="Imagen 9">
          <a:extLst>
            <a:ext uri="{FF2B5EF4-FFF2-40B4-BE49-F238E27FC236}">
              <a16:creationId xmlns:a16="http://schemas.microsoft.com/office/drawing/2014/main" id="{00000000-0008-0000-0D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2" name="Imagen 9">
          <a:extLst>
            <a:ext uri="{FF2B5EF4-FFF2-40B4-BE49-F238E27FC236}">
              <a16:creationId xmlns:a16="http://schemas.microsoft.com/office/drawing/2014/main" id="{00000000-0008-0000-0D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3" name="Imagen 9">
          <a:extLst>
            <a:ext uri="{FF2B5EF4-FFF2-40B4-BE49-F238E27FC236}">
              <a16:creationId xmlns:a16="http://schemas.microsoft.com/office/drawing/2014/main" id="{00000000-0008-0000-0D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0E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0E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0E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0E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0E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0E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0E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0E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0E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0E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0E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0E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0E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0E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0E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0E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00000000-0008-0000-0E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00000000-0008-0000-0E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00000000-0008-0000-0E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00000000-0008-0000-0E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00000000-0008-0000-0E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00000000-0008-0000-0E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00000000-0008-0000-0E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00000000-0008-0000-0E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00000000-0008-0000-0E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00000000-0008-0000-0E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00000000-0008-0000-0E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0" name="Imagen 9">
          <a:extLst>
            <a:ext uri="{FF2B5EF4-FFF2-40B4-BE49-F238E27FC236}">
              <a16:creationId xmlns:a16="http://schemas.microsoft.com/office/drawing/2014/main" id="{00000000-0008-0000-0E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1" name="Imagen 9">
          <a:extLst>
            <a:ext uri="{FF2B5EF4-FFF2-40B4-BE49-F238E27FC236}">
              <a16:creationId xmlns:a16="http://schemas.microsoft.com/office/drawing/2014/main" id="{00000000-0008-0000-0E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2" name="Imagen 9">
          <a:extLst>
            <a:ext uri="{FF2B5EF4-FFF2-40B4-BE49-F238E27FC236}">
              <a16:creationId xmlns:a16="http://schemas.microsoft.com/office/drawing/2014/main" id="{00000000-0008-0000-0E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3" name="Imagen 9">
          <a:extLst>
            <a:ext uri="{FF2B5EF4-FFF2-40B4-BE49-F238E27FC236}">
              <a16:creationId xmlns:a16="http://schemas.microsoft.com/office/drawing/2014/main" id="{00000000-0008-0000-0E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4" name="Imagen 9">
          <a:extLst>
            <a:ext uri="{FF2B5EF4-FFF2-40B4-BE49-F238E27FC236}">
              <a16:creationId xmlns:a16="http://schemas.microsoft.com/office/drawing/2014/main" id="{00000000-0008-0000-0E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5" name="Imagen 9">
          <a:extLst>
            <a:ext uri="{FF2B5EF4-FFF2-40B4-BE49-F238E27FC236}">
              <a16:creationId xmlns:a16="http://schemas.microsoft.com/office/drawing/2014/main" id="{00000000-0008-0000-0E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6" name="Imagen 9">
          <a:extLst>
            <a:ext uri="{FF2B5EF4-FFF2-40B4-BE49-F238E27FC236}">
              <a16:creationId xmlns:a16="http://schemas.microsoft.com/office/drawing/2014/main" id="{00000000-0008-0000-0E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00000000-0008-0000-0E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8" name="Imagen 9">
          <a:extLst>
            <a:ext uri="{FF2B5EF4-FFF2-40B4-BE49-F238E27FC236}">
              <a16:creationId xmlns:a16="http://schemas.microsoft.com/office/drawing/2014/main" id="{00000000-0008-0000-0E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9" name="Imagen 9">
          <a:extLst>
            <a:ext uri="{FF2B5EF4-FFF2-40B4-BE49-F238E27FC236}">
              <a16:creationId xmlns:a16="http://schemas.microsoft.com/office/drawing/2014/main" id="{00000000-0008-0000-0E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0" name="Imagen 9">
          <a:extLst>
            <a:ext uri="{FF2B5EF4-FFF2-40B4-BE49-F238E27FC236}">
              <a16:creationId xmlns:a16="http://schemas.microsoft.com/office/drawing/2014/main" id="{00000000-0008-0000-0E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1" name="Imagen 9">
          <a:extLst>
            <a:ext uri="{FF2B5EF4-FFF2-40B4-BE49-F238E27FC236}">
              <a16:creationId xmlns:a16="http://schemas.microsoft.com/office/drawing/2014/main" id="{00000000-0008-0000-0E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2" name="Imagen 9">
          <a:extLst>
            <a:ext uri="{FF2B5EF4-FFF2-40B4-BE49-F238E27FC236}">
              <a16:creationId xmlns:a16="http://schemas.microsoft.com/office/drawing/2014/main" id="{00000000-0008-0000-0E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3" name="Imagen 9">
          <a:extLst>
            <a:ext uri="{FF2B5EF4-FFF2-40B4-BE49-F238E27FC236}">
              <a16:creationId xmlns:a16="http://schemas.microsoft.com/office/drawing/2014/main" id="{00000000-0008-0000-0E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4" name="Imagen 9">
          <a:extLst>
            <a:ext uri="{FF2B5EF4-FFF2-40B4-BE49-F238E27FC236}">
              <a16:creationId xmlns:a16="http://schemas.microsoft.com/office/drawing/2014/main" id="{00000000-0008-0000-0E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5" name="Imagen 9">
          <a:extLst>
            <a:ext uri="{FF2B5EF4-FFF2-40B4-BE49-F238E27FC236}">
              <a16:creationId xmlns:a16="http://schemas.microsoft.com/office/drawing/2014/main" id="{00000000-0008-0000-0E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6" name="Imagen 9">
          <a:extLst>
            <a:ext uri="{FF2B5EF4-FFF2-40B4-BE49-F238E27FC236}">
              <a16:creationId xmlns:a16="http://schemas.microsoft.com/office/drawing/2014/main" id="{00000000-0008-0000-0E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7" name="Imagen 9">
          <a:extLst>
            <a:ext uri="{FF2B5EF4-FFF2-40B4-BE49-F238E27FC236}">
              <a16:creationId xmlns:a16="http://schemas.microsoft.com/office/drawing/2014/main" id="{00000000-0008-0000-0E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8" name="Imagen 9">
          <a:extLst>
            <a:ext uri="{FF2B5EF4-FFF2-40B4-BE49-F238E27FC236}">
              <a16:creationId xmlns:a16="http://schemas.microsoft.com/office/drawing/2014/main" id="{00000000-0008-0000-0E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9" name="Imagen 9">
          <a:extLst>
            <a:ext uri="{FF2B5EF4-FFF2-40B4-BE49-F238E27FC236}">
              <a16:creationId xmlns:a16="http://schemas.microsoft.com/office/drawing/2014/main" id="{00000000-0008-0000-0E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0" name="Imagen 9">
          <a:extLst>
            <a:ext uri="{FF2B5EF4-FFF2-40B4-BE49-F238E27FC236}">
              <a16:creationId xmlns:a16="http://schemas.microsoft.com/office/drawing/2014/main" id="{00000000-0008-0000-0E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1" name="Imagen 9">
          <a:extLst>
            <a:ext uri="{FF2B5EF4-FFF2-40B4-BE49-F238E27FC236}">
              <a16:creationId xmlns:a16="http://schemas.microsoft.com/office/drawing/2014/main" id="{00000000-0008-0000-0E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2" name="Imagen 9">
          <a:extLst>
            <a:ext uri="{FF2B5EF4-FFF2-40B4-BE49-F238E27FC236}">
              <a16:creationId xmlns:a16="http://schemas.microsoft.com/office/drawing/2014/main" id="{00000000-0008-0000-0E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3" name="Imagen 9">
          <a:extLst>
            <a:ext uri="{FF2B5EF4-FFF2-40B4-BE49-F238E27FC236}">
              <a16:creationId xmlns:a16="http://schemas.microsoft.com/office/drawing/2014/main" id="{00000000-0008-0000-0E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4" name="Imagen 9">
          <a:extLst>
            <a:ext uri="{FF2B5EF4-FFF2-40B4-BE49-F238E27FC236}">
              <a16:creationId xmlns:a16="http://schemas.microsoft.com/office/drawing/2014/main" id="{00000000-0008-0000-0E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5" name="Imagen 9">
          <a:extLst>
            <a:ext uri="{FF2B5EF4-FFF2-40B4-BE49-F238E27FC236}">
              <a16:creationId xmlns:a16="http://schemas.microsoft.com/office/drawing/2014/main" id="{00000000-0008-0000-0E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6" name="Imagen 9">
          <a:extLst>
            <a:ext uri="{FF2B5EF4-FFF2-40B4-BE49-F238E27FC236}">
              <a16:creationId xmlns:a16="http://schemas.microsoft.com/office/drawing/2014/main" id="{00000000-0008-0000-0E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7" name="Imagen 9">
          <a:extLst>
            <a:ext uri="{FF2B5EF4-FFF2-40B4-BE49-F238E27FC236}">
              <a16:creationId xmlns:a16="http://schemas.microsoft.com/office/drawing/2014/main" id="{00000000-0008-0000-0E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8" name="Imagen 9">
          <a:extLst>
            <a:ext uri="{FF2B5EF4-FFF2-40B4-BE49-F238E27FC236}">
              <a16:creationId xmlns:a16="http://schemas.microsoft.com/office/drawing/2014/main" id="{00000000-0008-0000-0E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9" name="Imagen 9">
          <a:extLst>
            <a:ext uri="{FF2B5EF4-FFF2-40B4-BE49-F238E27FC236}">
              <a16:creationId xmlns:a16="http://schemas.microsoft.com/office/drawing/2014/main" id="{00000000-0008-0000-0E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0" name="Imagen 9">
          <a:extLst>
            <a:ext uri="{FF2B5EF4-FFF2-40B4-BE49-F238E27FC236}">
              <a16:creationId xmlns:a16="http://schemas.microsoft.com/office/drawing/2014/main" id="{00000000-0008-0000-0E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1" name="Imagen 9">
          <a:extLst>
            <a:ext uri="{FF2B5EF4-FFF2-40B4-BE49-F238E27FC236}">
              <a16:creationId xmlns:a16="http://schemas.microsoft.com/office/drawing/2014/main" id="{00000000-0008-0000-0E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2" name="Imagen 9">
          <a:extLst>
            <a:ext uri="{FF2B5EF4-FFF2-40B4-BE49-F238E27FC236}">
              <a16:creationId xmlns:a16="http://schemas.microsoft.com/office/drawing/2014/main" id="{00000000-0008-0000-0E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3" name="Imagen 9">
          <a:extLst>
            <a:ext uri="{FF2B5EF4-FFF2-40B4-BE49-F238E27FC236}">
              <a16:creationId xmlns:a16="http://schemas.microsoft.com/office/drawing/2014/main" id="{00000000-0008-0000-0E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4" name="Imagen 9">
          <a:extLst>
            <a:ext uri="{FF2B5EF4-FFF2-40B4-BE49-F238E27FC236}">
              <a16:creationId xmlns:a16="http://schemas.microsoft.com/office/drawing/2014/main" id="{00000000-0008-0000-0E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5" name="Imagen 9">
          <a:extLst>
            <a:ext uri="{FF2B5EF4-FFF2-40B4-BE49-F238E27FC236}">
              <a16:creationId xmlns:a16="http://schemas.microsoft.com/office/drawing/2014/main" id="{00000000-0008-0000-0E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6" name="Imagen 9">
          <a:extLst>
            <a:ext uri="{FF2B5EF4-FFF2-40B4-BE49-F238E27FC236}">
              <a16:creationId xmlns:a16="http://schemas.microsoft.com/office/drawing/2014/main" id="{00000000-0008-0000-0E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7" name="Imagen 9">
          <a:extLst>
            <a:ext uri="{FF2B5EF4-FFF2-40B4-BE49-F238E27FC236}">
              <a16:creationId xmlns:a16="http://schemas.microsoft.com/office/drawing/2014/main" id="{00000000-0008-0000-0E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8" name="Imagen 9">
          <a:extLst>
            <a:ext uri="{FF2B5EF4-FFF2-40B4-BE49-F238E27FC236}">
              <a16:creationId xmlns:a16="http://schemas.microsoft.com/office/drawing/2014/main" id="{00000000-0008-0000-0E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9" name="Imagen 9">
          <a:extLst>
            <a:ext uri="{FF2B5EF4-FFF2-40B4-BE49-F238E27FC236}">
              <a16:creationId xmlns:a16="http://schemas.microsoft.com/office/drawing/2014/main" id="{00000000-0008-0000-0E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0" name="Imagen 9">
          <a:extLst>
            <a:ext uri="{FF2B5EF4-FFF2-40B4-BE49-F238E27FC236}">
              <a16:creationId xmlns:a16="http://schemas.microsoft.com/office/drawing/2014/main" id="{00000000-0008-0000-0E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1" name="Imagen 9">
          <a:extLst>
            <a:ext uri="{FF2B5EF4-FFF2-40B4-BE49-F238E27FC236}">
              <a16:creationId xmlns:a16="http://schemas.microsoft.com/office/drawing/2014/main" id="{00000000-0008-0000-0E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2" name="Imagen 9">
          <a:extLst>
            <a:ext uri="{FF2B5EF4-FFF2-40B4-BE49-F238E27FC236}">
              <a16:creationId xmlns:a16="http://schemas.microsoft.com/office/drawing/2014/main" id="{00000000-0008-0000-0E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3" name="Imagen 9">
          <a:extLst>
            <a:ext uri="{FF2B5EF4-FFF2-40B4-BE49-F238E27FC236}">
              <a16:creationId xmlns:a16="http://schemas.microsoft.com/office/drawing/2014/main" id="{00000000-0008-0000-0E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4" name="Imagen 9">
          <a:extLst>
            <a:ext uri="{FF2B5EF4-FFF2-40B4-BE49-F238E27FC236}">
              <a16:creationId xmlns:a16="http://schemas.microsoft.com/office/drawing/2014/main" id="{00000000-0008-0000-0E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5" name="Imagen 9">
          <a:extLst>
            <a:ext uri="{FF2B5EF4-FFF2-40B4-BE49-F238E27FC236}">
              <a16:creationId xmlns:a16="http://schemas.microsoft.com/office/drawing/2014/main" id="{00000000-0008-0000-0E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6" name="Imagen 9">
          <a:extLst>
            <a:ext uri="{FF2B5EF4-FFF2-40B4-BE49-F238E27FC236}">
              <a16:creationId xmlns:a16="http://schemas.microsoft.com/office/drawing/2014/main" id="{00000000-0008-0000-0E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7" name="Imagen 9">
          <a:extLst>
            <a:ext uri="{FF2B5EF4-FFF2-40B4-BE49-F238E27FC236}">
              <a16:creationId xmlns:a16="http://schemas.microsoft.com/office/drawing/2014/main" id="{00000000-0008-0000-0E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8" name="Imagen 9">
          <a:extLst>
            <a:ext uri="{FF2B5EF4-FFF2-40B4-BE49-F238E27FC236}">
              <a16:creationId xmlns:a16="http://schemas.microsoft.com/office/drawing/2014/main" id="{00000000-0008-0000-0E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9" name="Imagen 9">
          <a:extLst>
            <a:ext uri="{FF2B5EF4-FFF2-40B4-BE49-F238E27FC236}">
              <a16:creationId xmlns:a16="http://schemas.microsoft.com/office/drawing/2014/main" id="{00000000-0008-0000-0E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0" name="Imagen 9">
          <a:extLst>
            <a:ext uri="{FF2B5EF4-FFF2-40B4-BE49-F238E27FC236}">
              <a16:creationId xmlns:a16="http://schemas.microsoft.com/office/drawing/2014/main" id="{00000000-0008-0000-0E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1" name="Imagen 9">
          <a:extLst>
            <a:ext uri="{FF2B5EF4-FFF2-40B4-BE49-F238E27FC236}">
              <a16:creationId xmlns:a16="http://schemas.microsoft.com/office/drawing/2014/main" id="{00000000-0008-0000-0E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2" name="Imagen 9">
          <a:extLst>
            <a:ext uri="{FF2B5EF4-FFF2-40B4-BE49-F238E27FC236}">
              <a16:creationId xmlns:a16="http://schemas.microsoft.com/office/drawing/2014/main" id="{00000000-0008-0000-0E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3" name="Imagen 9">
          <a:extLst>
            <a:ext uri="{FF2B5EF4-FFF2-40B4-BE49-F238E27FC236}">
              <a16:creationId xmlns:a16="http://schemas.microsoft.com/office/drawing/2014/main" id="{00000000-0008-0000-0E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4" name="Imagen 9">
          <a:extLst>
            <a:ext uri="{FF2B5EF4-FFF2-40B4-BE49-F238E27FC236}">
              <a16:creationId xmlns:a16="http://schemas.microsoft.com/office/drawing/2014/main" id="{00000000-0008-0000-0E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5" name="Imagen 9">
          <a:extLst>
            <a:ext uri="{FF2B5EF4-FFF2-40B4-BE49-F238E27FC236}">
              <a16:creationId xmlns:a16="http://schemas.microsoft.com/office/drawing/2014/main" id="{00000000-0008-0000-0E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6" name="Imagen 9">
          <a:extLst>
            <a:ext uri="{FF2B5EF4-FFF2-40B4-BE49-F238E27FC236}">
              <a16:creationId xmlns:a16="http://schemas.microsoft.com/office/drawing/2014/main" id="{00000000-0008-0000-0E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7" name="Imagen 9">
          <a:extLst>
            <a:ext uri="{FF2B5EF4-FFF2-40B4-BE49-F238E27FC236}">
              <a16:creationId xmlns:a16="http://schemas.microsoft.com/office/drawing/2014/main" id="{00000000-0008-0000-0E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8" name="Imagen 9">
          <a:extLst>
            <a:ext uri="{FF2B5EF4-FFF2-40B4-BE49-F238E27FC236}">
              <a16:creationId xmlns:a16="http://schemas.microsoft.com/office/drawing/2014/main" id="{00000000-0008-0000-0E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9" name="Imagen 9">
          <a:extLst>
            <a:ext uri="{FF2B5EF4-FFF2-40B4-BE49-F238E27FC236}">
              <a16:creationId xmlns:a16="http://schemas.microsoft.com/office/drawing/2014/main" id="{00000000-0008-0000-0E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0" name="Imagen 9">
          <a:extLst>
            <a:ext uri="{FF2B5EF4-FFF2-40B4-BE49-F238E27FC236}">
              <a16:creationId xmlns:a16="http://schemas.microsoft.com/office/drawing/2014/main" id="{00000000-0008-0000-0E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1" name="Imagen 9">
          <a:extLst>
            <a:ext uri="{FF2B5EF4-FFF2-40B4-BE49-F238E27FC236}">
              <a16:creationId xmlns:a16="http://schemas.microsoft.com/office/drawing/2014/main" id="{00000000-0008-0000-0E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2" name="Imagen 9">
          <a:extLst>
            <a:ext uri="{FF2B5EF4-FFF2-40B4-BE49-F238E27FC236}">
              <a16:creationId xmlns:a16="http://schemas.microsoft.com/office/drawing/2014/main" id="{00000000-0008-0000-0E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3" name="Imagen 9">
          <a:extLst>
            <a:ext uri="{FF2B5EF4-FFF2-40B4-BE49-F238E27FC236}">
              <a16:creationId xmlns:a16="http://schemas.microsoft.com/office/drawing/2014/main" id="{00000000-0008-0000-0E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4" name="Imagen 9">
          <a:extLst>
            <a:ext uri="{FF2B5EF4-FFF2-40B4-BE49-F238E27FC236}">
              <a16:creationId xmlns:a16="http://schemas.microsoft.com/office/drawing/2014/main" id="{00000000-0008-0000-0E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5" name="Imagen 9">
          <a:extLst>
            <a:ext uri="{FF2B5EF4-FFF2-40B4-BE49-F238E27FC236}">
              <a16:creationId xmlns:a16="http://schemas.microsoft.com/office/drawing/2014/main" id="{00000000-0008-0000-0E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6" name="Imagen 9">
          <a:extLst>
            <a:ext uri="{FF2B5EF4-FFF2-40B4-BE49-F238E27FC236}">
              <a16:creationId xmlns:a16="http://schemas.microsoft.com/office/drawing/2014/main" id="{00000000-0008-0000-0E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7" name="Imagen 9">
          <a:extLst>
            <a:ext uri="{FF2B5EF4-FFF2-40B4-BE49-F238E27FC236}">
              <a16:creationId xmlns:a16="http://schemas.microsoft.com/office/drawing/2014/main" id="{00000000-0008-0000-0E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8" name="Imagen 9">
          <a:extLst>
            <a:ext uri="{FF2B5EF4-FFF2-40B4-BE49-F238E27FC236}">
              <a16:creationId xmlns:a16="http://schemas.microsoft.com/office/drawing/2014/main" id="{00000000-0008-0000-0E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9" name="Imagen 9">
          <a:extLst>
            <a:ext uri="{FF2B5EF4-FFF2-40B4-BE49-F238E27FC236}">
              <a16:creationId xmlns:a16="http://schemas.microsoft.com/office/drawing/2014/main" id="{00000000-0008-0000-0E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0F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0F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0F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0F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0F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0F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0F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0F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0F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0F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0F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0F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0F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0F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0F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0F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0F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0F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0F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0F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0F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00000000-0008-0000-0F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00000000-0008-0000-0F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00000000-0008-0000-0F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00000000-0008-0000-0F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00000000-0008-0000-0F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00000000-0008-0000-0F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00000000-0008-0000-0F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00000000-0008-0000-0F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00000000-0008-0000-0F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00000000-0008-0000-0F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00000000-0008-0000-0F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0" name="Imagen 9">
          <a:extLst>
            <a:ext uri="{FF2B5EF4-FFF2-40B4-BE49-F238E27FC236}">
              <a16:creationId xmlns:a16="http://schemas.microsoft.com/office/drawing/2014/main" id="{00000000-0008-0000-0F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1" name="Imagen 9">
          <a:extLst>
            <a:ext uri="{FF2B5EF4-FFF2-40B4-BE49-F238E27FC236}">
              <a16:creationId xmlns:a16="http://schemas.microsoft.com/office/drawing/2014/main" id="{00000000-0008-0000-0F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2" name="Imagen 9">
          <a:extLst>
            <a:ext uri="{FF2B5EF4-FFF2-40B4-BE49-F238E27FC236}">
              <a16:creationId xmlns:a16="http://schemas.microsoft.com/office/drawing/2014/main" id="{00000000-0008-0000-0F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3" name="Imagen 9">
          <a:extLst>
            <a:ext uri="{FF2B5EF4-FFF2-40B4-BE49-F238E27FC236}">
              <a16:creationId xmlns:a16="http://schemas.microsoft.com/office/drawing/2014/main" id="{00000000-0008-0000-0F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4" name="Imagen 9">
          <a:extLst>
            <a:ext uri="{FF2B5EF4-FFF2-40B4-BE49-F238E27FC236}">
              <a16:creationId xmlns:a16="http://schemas.microsoft.com/office/drawing/2014/main" id="{00000000-0008-0000-0F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5" name="Imagen 9">
          <a:extLst>
            <a:ext uri="{FF2B5EF4-FFF2-40B4-BE49-F238E27FC236}">
              <a16:creationId xmlns:a16="http://schemas.microsoft.com/office/drawing/2014/main" id="{00000000-0008-0000-0F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6" name="Imagen 9">
          <a:extLst>
            <a:ext uri="{FF2B5EF4-FFF2-40B4-BE49-F238E27FC236}">
              <a16:creationId xmlns:a16="http://schemas.microsoft.com/office/drawing/2014/main" id="{00000000-0008-0000-0F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00000000-0008-0000-0F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8" name="Imagen 9">
          <a:extLst>
            <a:ext uri="{FF2B5EF4-FFF2-40B4-BE49-F238E27FC236}">
              <a16:creationId xmlns:a16="http://schemas.microsoft.com/office/drawing/2014/main" id="{00000000-0008-0000-0F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9" name="Imagen 9">
          <a:extLst>
            <a:ext uri="{FF2B5EF4-FFF2-40B4-BE49-F238E27FC236}">
              <a16:creationId xmlns:a16="http://schemas.microsoft.com/office/drawing/2014/main" id="{00000000-0008-0000-0F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0" name="Imagen 9">
          <a:extLst>
            <a:ext uri="{FF2B5EF4-FFF2-40B4-BE49-F238E27FC236}">
              <a16:creationId xmlns:a16="http://schemas.microsoft.com/office/drawing/2014/main" id="{00000000-0008-0000-0F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1" name="Imagen 9">
          <a:extLst>
            <a:ext uri="{FF2B5EF4-FFF2-40B4-BE49-F238E27FC236}">
              <a16:creationId xmlns:a16="http://schemas.microsoft.com/office/drawing/2014/main" id="{00000000-0008-0000-0F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2" name="Imagen 9">
          <a:extLst>
            <a:ext uri="{FF2B5EF4-FFF2-40B4-BE49-F238E27FC236}">
              <a16:creationId xmlns:a16="http://schemas.microsoft.com/office/drawing/2014/main" id="{00000000-0008-0000-0F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3" name="Imagen 9">
          <a:extLst>
            <a:ext uri="{FF2B5EF4-FFF2-40B4-BE49-F238E27FC236}">
              <a16:creationId xmlns:a16="http://schemas.microsoft.com/office/drawing/2014/main" id="{00000000-0008-0000-0F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4" name="Imagen 9">
          <a:extLst>
            <a:ext uri="{FF2B5EF4-FFF2-40B4-BE49-F238E27FC236}">
              <a16:creationId xmlns:a16="http://schemas.microsoft.com/office/drawing/2014/main" id="{00000000-0008-0000-0F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5" name="Imagen 9">
          <a:extLst>
            <a:ext uri="{FF2B5EF4-FFF2-40B4-BE49-F238E27FC236}">
              <a16:creationId xmlns:a16="http://schemas.microsoft.com/office/drawing/2014/main" id="{00000000-0008-0000-0F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6" name="Imagen 9">
          <a:extLst>
            <a:ext uri="{FF2B5EF4-FFF2-40B4-BE49-F238E27FC236}">
              <a16:creationId xmlns:a16="http://schemas.microsoft.com/office/drawing/2014/main" id="{00000000-0008-0000-0F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7" name="Imagen 9">
          <a:extLst>
            <a:ext uri="{FF2B5EF4-FFF2-40B4-BE49-F238E27FC236}">
              <a16:creationId xmlns:a16="http://schemas.microsoft.com/office/drawing/2014/main" id="{00000000-0008-0000-0F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8" name="Imagen 9">
          <a:extLst>
            <a:ext uri="{FF2B5EF4-FFF2-40B4-BE49-F238E27FC236}">
              <a16:creationId xmlns:a16="http://schemas.microsoft.com/office/drawing/2014/main" id="{00000000-0008-0000-0F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9" name="Imagen 9">
          <a:extLst>
            <a:ext uri="{FF2B5EF4-FFF2-40B4-BE49-F238E27FC236}">
              <a16:creationId xmlns:a16="http://schemas.microsoft.com/office/drawing/2014/main" id="{00000000-0008-0000-0F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0" name="Imagen 9">
          <a:extLst>
            <a:ext uri="{FF2B5EF4-FFF2-40B4-BE49-F238E27FC236}">
              <a16:creationId xmlns:a16="http://schemas.microsoft.com/office/drawing/2014/main" id="{00000000-0008-0000-0F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1" name="Imagen 9">
          <a:extLst>
            <a:ext uri="{FF2B5EF4-FFF2-40B4-BE49-F238E27FC236}">
              <a16:creationId xmlns:a16="http://schemas.microsoft.com/office/drawing/2014/main" id="{00000000-0008-0000-0F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2" name="Imagen 9">
          <a:extLst>
            <a:ext uri="{FF2B5EF4-FFF2-40B4-BE49-F238E27FC236}">
              <a16:creationId xmlns:a16="http://schemas.microsoft.com/office/drawing/2014/main" id="{00000000-0008-0000-0F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3" name="Imagen 9">
          <a:extLst>
            <a:ext uri="{FF2B5EF4-FFF2-40B4-BE49-F238E27FC236}">
              <a16:creationId xmlns:a16="http://schemas.microsoft.com/office/drawing/2014/main" id="{00000000-0008-0000-0F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4" name="Imagen 9">
          <a:extLst>
            <a:ext uri="{FF2B5EF4-FFF2-40B4-BE49-F238E27FC236}">
              <a16:creationId xmlns:a16="http://schemas.microsoft.com/office/drawing/2014/main" id="{00000000-0008-0000-0F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5" name="Imagen 9">
          <a:extLst>
            <a:ext uri="{FF2B5EF4-FFF2-40B4-BE49-F238E27FC236}">
              <a16:creationId xmlns:a16="http://schemas.microsoft.com/office/drawing/2014/main" id="{00000000-0008-0000-0F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6" name="Imagen 9">
          <a:extLst>
            <a:ext uri="{FF2B5EF4-FFF2-40B4-BE49-F238E27FC236}">
              <a16:creationId xmlns:a16="http://schemas.microsoft.com/office/drawing/2014/main" id="{00000000-0008-0000-0F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7" name="Imagen 9">
          <a:extLst>
            <a:ext uri="{FF2B5EF4-FFF2-40B4-BE49-F238E27FC236}">
              <a16:creationId xmlns:a16="http://schemas.microsoft.com/office/drawing/2014/main" id="{00000000-0008-0000-0F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8" name="Imagen 9">
          <a:extLst>
            <a:ext uri="{FF2B5EF4-FFF2-40B4-BE49-F238E27FC236}">
              <a16:creationId xmlns:a16="http://schemas.microsoft.com/office/drawing/2014/main" id="{00000000-0008-0000-0F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9" name="Imagen 9">
          <a:extLst>
            <a:ext uri="{FF2B5EF4-FFF2-40B4-BE49-F238E27FC236}">
              <a16:creationId xmlns:a16="http://schemas.microsoft.com/office/drawing/2014/main" id="{00000000-0008-0000-0F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0" name="Imagen 9">
          <a:extLst>
            <a:ext uri="{FF2B5EF4-FFF2-40B4-BE49-F238E27FC236}">
              <a16:creationId xmlns:a16="http://schemas.microsoft.com/office/drawing/2014/main" id="{00000000-0008-0000-0F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1" name="Imagen 9">
          <a:extLst>
            <a:ext uri="{FF2B5EF4-FFF2-40B4-BE49-F238E27FC236}">
              <a16:creationId xmlns:a16="http://schemas.microsoft.com/office/drawing/2014/main" id="{00000000-0008-0000-0F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2" name="Imagen 9">
          <a:extLst>
            <a:ext uri="{FF2B5EF4-FFF2-40B4-BE49-F238E27FC236}">
              <a16:creationId xmlns:a16="http://schemas.microsoft.com/office/drawing/2014/main" id="{00000000-0008-0000-0F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3" name="Imagen 9">
          <a:extLst>
            <a:ext uri="{FF2B5EF4-FFF2-40B4-BE49-F238E27FC236}">
              <a16:creationId xmlns:a16="http://schemas.microsoft.com/office/drawing/2014/main" id="{00000000-0008-0000-0F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4" name="Imagen 9">
          <a:extLst>
            <a:ext uri="{FF2B5EF4-FFF2-40B4-BE49-F238E27FC236}">
              <a16:creationId xmlns:a16="http://schemas.microsoft.com/office/drawing/2014/main" id="{00000000-0008-0000-0F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5" name="Imagen 9">
          <a:extLst>
            <a:ext uri="{FF2B5EF4-FFF2-40B4-BE49-F238E27FC236}">
              <a16:creationId xmlns:a16="http://schemas.microsoft.com/office/drawing/2014/main" id="{00000000-0008-0000-0F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6" name="Imagen 9">
          <a:extLst>
            <a:ext uri="{FF2B5EF4-FFF2-40B4-BE49-F238E27FC236}">
              <a16:creationId xmlns:a16="http://schemas.microsoft.com/office/drawing/2014/main" id="{00000000-0008-0000-0F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7" name="Imagen 9">
          <a:extLst>
            <a:ext uri="{FF2B5EF4-FFF2-40B4-BE49-F238E27FC236}">
              <a16:creationId xmlns:a16="http://schemas.microsoft.com/office/drawing/2014/main" id="{00000000-0008-0000-0F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8" name="Imagen 9">
          <a:extLst>
            <a:ext uri="{FF2B5EF4-FFF2-40B4-BE49-F238E27FC236}">
              <a16:creationId xmlns:a16="http://schemas.microsoft.com/office/drawing/2014/main" id="{00000000-0008-0000-0F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9" name="Imagen 9">
          <a:extLst>
            <a:ext uri="{FF2B5EF4-FFF2-40B4-BE49-F238E27FC236}">
              <a16:creationId xmlns:a16="http://schemas.microsoft.com/office/drawing/2014/main" id="{00000000-0008-0000-0F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0" name="Imagen 9">
          <a:extLst>
            <a:ext uri="{FF2B5EF4-FFF2-40B4-BE49-F238E27FC236}">
              <a16:creationId xmlns:a16="http://schemas.microsoft.com/office/drawing/2014/main" id="{00000000-0008-0000-0F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1" name="Imagen 9">
          <a:extLst>
            <a:ext uri="{FF2B5EF4-FFF2-40B4-BE49-F238E27FC236}">
              <a16:creationId xmlns:a16="http://schemas.microsoft.com/office/drawing/2014/main" id="{00000000-0008-0000-0F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2" name="Imagen 9">
          <a:extLst>
            <a:ext uri="{FF2B5EF4-FFF2-40B4-BE49-F238E27FC236}">
              <a16:creationId xmlns:a16="http://schemas.microsoft.com/office/drawing/2014/main" id="{00000000-0008-0000-0F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3" name="Imagen 9">
          <a:extLst>
            <a:ext uri="{FF2B5EF4-FFF2-40B4-BE49-F238E27FC236}">
              <a16:creationId xmlns:a16="http://schemas.microsoft.com/office/drawing/2014/main" id="{00000000-0008-0000-0F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4" name="Imagen 9">
          <a:extLst>
            <a:ext uri="{FF2B5EF4-FFF2-40B4-BE49-F238E27FC236}">
              <a16:creationId xmlns:a16="http://schemas.microsoft.com/office/drawing/2014/main" id="{00000000-0008-0000-0F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5" name="Imagen 9">
          <a:extLst>
            <a:ext uri="{FF2B5EF4-FFF2-40B4-BE49-F238E27FC236}">
              <a16:creationId xmlns:a16="http://schemas.microsoft.com/office/drawing/2014/main" id="{00000000-0008-0000-0F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6" name="Imagen 9">
          <a:extLst>
            <a:ext uri="{FF2B5EF4-FFF2-40B4-BE49-F238E27FC236}">
              <a16:creationId xmlns:a16="http://schemas.microsoft.com/office/drawing/2014/main" id="{00000000-0008-0000-0F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7" name="Imagen 9">
          <a:extLst>
            <a:ext uri="{FF2B5EF4-FFF2-40B4-BE49-F238E27FC236}">
              <a16:creationId xmlns:a16="http://schemas.microsoft.com/office/drawing/2014/main" id="{00000000-0008-0000-0F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8" name="Imagen 9">
          <a:extLst>
            <a:ext uri="{FF2B5EF4-FFF2-40B4-BE49-F238E27FC236}">
              <a16:creationId xmlns:a16="http://schemas.microsoft.com/office/drawing/2014/main" id="{00000000-0008-0000-0F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9" name="Imagen 9">
          <a:extLst>
            <a:ext uri="{FF2B5EF4-FFF2-40B4-BE49-F238E27FC236}">
              <a16:creationId xmlns:a16="http://schemas.microsoft.com/office/drawing/2014/main" id="{00000000-0008-0000-0F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0" name="Imagen 9">
          <a:extLst>
            <a:ext uri="{FF2B5EF4-FFF2-40B4-BE49-F238E27FC236}">
              <a16:creationId xmlns:a16="http://schemas.microsoft.com/office/drawing/2014/main" id="{00000000-0008-0000-0F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1" name="Imagen 9">
          <a:extLst>
            <a:ext uri="{FF2B5EF4-FFF2-40B4-BE49-F238E27FC236}">
              <a16:creationId xmlns:a16="http://schemas.microsoft.com/office/drawing/2014/main" id="{00000000-0008-0000-0F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2" name="Imagen 9">
          <a:extLst>
            <a:ext uri="{FF2B5EF4-FFF2-40B4-BE49-F238E27FC236}">
              <a16:creationId xmlns:a16="http://schemas.microsoft.com/office/drawing/2014/main" id="{00000000-0008-0000-0F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3" name="Imagen 9">
          <a:extLst>
            <a:ext uri="{FF2B5EF4-FFF2-40B4-BE49-F238E27FC236}">
              <a16:creationId xmlns:a16="http://schemas.microsoft.com/office/drawing/2014/main" id="{00000000-0008-0000-0F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4" name="Imagen 9">
          <a:extLst>
            <a:ext uri="{FF2B5EF4-FFF2-40B4-BE49-F238E27FC236}">
              <a16:creationId xmlns:a16="http://schemas.microsoft.com/office/drawing/2014/main" id="{00000000-0008-0000-0F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5" name="Imagen 9">
          <a:extLst>
            <a:ext uri="{FF2B5EF4-FFF2-40B4-BE49-F238E27FC236}">
              <a16:creationId xmlns:a16="http://schemas.microsoft.com/office/drawing/2014/main" id="{00000000-0008-0000-0F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6" name="Imagen 9">
          <a:extLst>
            <a:ext uri="{FF2B5EF4-FFF2-40B4-BE49-F238E27FC236}">
              <a16:creationId xmlns:a16="http://schemas.microsoft.com/office/drawing/2014/main" id="{00000000-0008-0000-0F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7" name="Imagen 9">
          <a:extLst>
            <a:ext uri="{FF2B5EF4-FFF2-40B4-BE49-F238E27FC236}">
              <a16:creationId xmlns:a16="http://schemas.microsoft.com/office/drawing/2014/main" id="{00000000-0008-0000-0F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8" name="Imagen 9">
          <a:extLst>
            <a:ext uri="{FF2B5EF4-FFF2-40B4-BE49-F238E27FC236}">
              <a16:creationId xmlns:a16="http://schemas.microsoft.com/office/drawing/2014/main" id="{00000000-0008-0000-0F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9" name="Imagen 9">
          <a:extLst>
            <a:ext uri="{FF2B5EF4-FFF2-40B4-BE49-F238E27FC236}">
              <a16:creationId xmlns:a16="http://schemas.microsoft.com/office/drawing/2014/main" id="{00000000-0008-0000-0F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0" name="Imagen 9">
          <a:extLst>
            <a:ext uri="{FF2B5EF4-FFF2-40B4-BE49-F238E27FC236}">
              <a16:creationId xmlns:a16="http://schemas.microsoft.com/office/drawing/2014/main" id="{00000000-0008-0000-0F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1" name="Imagen 9">
          <a:extLst>
            <a:ext uri="{FF2B5EF4-FFF2-40B4-BE49-F238E27FC236}">
              <a16:creationId xmlns:a16="http://schemas.microsoft.com/office/drawing/2014/main" id="{00000000-0008-0000-0F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2" name="Imagen 9">
          <a:extLst>
            <a:ext uri="{FF2B5EF4-FFF2-40B4-BE49-F238E27FC236}">
              <a16:creationId xmlns:a16="http://schemas.microsoft.com/office/drawing/2014/main" id="{00000000-0008-0000-0F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3" name="Imagen 9">
          <a:extLst>
            <a:ext uri="{FF2B5EF4-FFF2-40B4-BE49-F238E27FC236}">
              <a16:creationId xmlns:a16="http://schemas.microsoft.com/office/drawing/2014/main" id="{00000000-0008-0000-0F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4" name="Imagen 9">
          <a:extLst>
            <a:ext uri="{FF2B5EF4-FFF2-40B4-BE49-F238E27FC236}">
              <a16:creationId xmlns:a16="http://schemas.microsoft.com/office/drawing/2014/main" id="{00000000-0008-0000-0F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5" name="Imagen 9">
          <a:extLst>
            <a:ext uri="{FF2B5EF4-FFF2-40B4-BE49-F238E27FC236}">
              <a16:creationId xmlns:a16="http://schemas.microsoft.com/office/drawing/2014/main" id="{00000000-0008-0000-0F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6" name="Imagen 9">
          <a:extLst>
            <a:ext uri="{FF2B5EF4-FFF2-40B4-BE49-F238E27FC236}">
              <a16:creationId xmlns:a16="http://schemas.microsoft.com/office/drawing/2014/main" id="{00000000-0008-0000-0F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7" name="Imagen 9">
          <a:extLst>
            <a:ext uri="{FF2B5EF4-FFF2-40B4-BE49-F238E27FC236}">
              <a16:creationId xmlns:a16="http://schemas.microsoft.com/office/drawing/2014/main" id="{00000000-0008-0000-0F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8" name="Imagen 9">
          <a:extLst>
            <a:ext uri="{FF2B5EF4-FFF2-40B4-BE49-F238E27FC236}">
              <a16:creationId xmlns:a16="http://schemas.microsoft.com/office/drawing/2014/main" id="{00000000-0008-0000-0F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9" name="Imagen 9">
          <a:extLst>
            <a:ext uri="{FF2B5EF4-FFF2-40B4-BE49-F238E27FC236}">
              <a16:creationId xmlns:a16="http://schemas.microsoft.com/office/drawing/2014/main" id="{00000000-0008-0000-0F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1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1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1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1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1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1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1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1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1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1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1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1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1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1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1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1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1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1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1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1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1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1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00000000-0008-0000-1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00000000-0008-0000-1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00000000-0008-0000-1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00000000-0008-0000-1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00000000-0008-0000-1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00000000-0008-0000-1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00000000-0008-0000-1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00000000-0008-0000-1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00000000-0008-0000-1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00000000-0008-0000-1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00000000-0008-0000-1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0" name="Imagen 9">
          <a:extLst>
            <a:ext uri="{FF2B5EF4-FFF2-40B4-BE49-F238E27FC236}">
              <a16:creationId xmlns:a16="http://schemas.microsoft.com/office/drawing/2014/main" id="{00000000-0008-0000-1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1" name="Imagen 9">
          <a:extLst>
            <a:ext uri="{FF2B5EF4-FFF2-40B4-BE49-F238E27FC236}">
              <a16:creationId xmlns:a16="http://schemas.microsoft.com/office/drawing/2014/main" id="{00000000-0008-0000-1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2" name="Imagen 9">
          <a:extLst>
            <a:ext uri="{FF2B5EF4-FFF2-40B4-BE49-F238E27FC236}">
              <a16:creationId xmlns:a16="http://schemas.microsoft.com/office/drawing/2014/main" id="{00000000-0008-0000-1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3" name="Imagen 9">
          <a:extLst>
            <a:ext uri="{FF2B5EF4-FFF2-40B4-BE49-F238E27FC236}">
              <a16:creationId xmlns:a16="http://schemas.microsoft.com/office/drawing/2014/main" id="{00000000-0008-0000-1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4" name="Imagen 9">
          <a:extLst>
            <a:ext uri="{FF2B5EF4-FFF2-40B4-BE49-F238E27FC236}">
              <a16:creationId xmlns:a16="http://schemas.microsoft.com/office/drawing/2014/main" id="{00000000-0008-0000-1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5" name="Imagen 9">
          <a:extLst>
            <a:ext uri="{FF2B5EF4-FFF2-40B4-BE49-F238E27FC236}">
              <a16:creationId xmlns:a16="http://schemas.microsoft.com/office/drawing/2014/main" id="{00000000-0008-0000-1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6" name="Imagen 9">
          <a:extLst>
            <a:ext uri="{FF2B5EF4-FFF2-40B4-BE49-F238E27FC236}">
              <a16:creationId xmlns:a16="http://schemas.microsoft.com/office/drawing/2014/main" id="{00000000-0008-0000-1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00000000-0008-0000-1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8" name="Imagen 9">
          <a:extLst>
            <a:ext uri="{FF2B5EF4-FFF2-40B4-BE49-F238E27FC236}">
              <a16:creationId xmlns:a16="http://schemas.microsoft.com/office/drawing/2014/main" id="{00000000-0008-0000-1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9" name="Imagen 9">
          <a:extLst>
            <a:ext uri="{FF2B5EF4-FFF2-40B4-BE49-F238E27FC236}">
              <a16:creationId xmlns:a16="http://schemas.microsoft.com/office/drawing/2014/main" id="{00000000-0008-0000-1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0" name="Imagen 9">
          <a:extLst>
            <a:ext uri="{FF2B5EF4-FFF2-40B4-BE49-F238E27FC236}">
              <a16:creationId xmlns:a16="http://schemas.microsoft.com/office/drawing/2014/main" id="{00000000-0008-0000-1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1" name="Imagen 9">
          <a:extLst>
            <a:ext uri="{FF2B5EF4-FFF2-40B4-BE49-F238E27FC236}">
              <a16:creationId xmlns:a16="http://schemas.microsoft.com/office/drawing/2014/main" id="{00000000-0008-0000-1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2" name="Imagen 9">
          <a:extLst>
            <a:ext uri="{FF2B5EF4-FFF2-40B4-BE49-F238E27FC236}">
              <a16:creationId xmlns:a16="http://schemas.microsoft.com/office/drawing/2014/main" id="{00000000-0008-0000-1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3" name="Imagen 9">
          <a:extLst>
            <a:ext uri="{FF2B5EF4-FFF2-40B4-BE49-F238E27FC236}">
              <a16:creationId xmlns:a16="http://schemas.microsoft.com/office/drawing/2014/main" id="{00000000-0008-0000-1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4" name="Imagen 9">
          <a:extLst>
            <a:ext uri="{FF2B5EF4-FFF2-40B4-BE49-F238E27FC236}">
              <a16:creationId xmlns:a16="http://schemas.microsoft.com/office/drawing/2014/main" id="{00000000-0008-0000-1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5" name="Imagen 9">
          <a:extLst>
            <a:ext uri="{FF2B5EF4-FFF2-40B4-BE49-F238E27FC236}">
              <a16:creationId xmlns:a16="http://schemas.microsoft.com/office/drawing/2014/main" id="{00000000-0008-0000-1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6" name="Imagen 9">
          <a:extLst>
            <a:ext uri="{FF2B5EF4-FFF2-40B4-BE49-F238E27FC236}">
              <a16:creationId xmlns:a16="http://schemas.microsoft.com/office/drawing/2014/main" id="{00000000-0008-0000-1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7" name="Imagen 9">
          <a:extLst>
            <a:ext uri="{FF2B5EF4-FFF2-40B4-BE49-F238E27FC236}">
              <a16:creationId xmlns:a16="http://schemas.microsoft.com/office/drawing/2014/main" id="{00000000-0008-0000-1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8" name="Imagen 9">
          <a:extLst>
            <a:ext uri="{FF2B5EF4-FFF2-40B4-BE49-F238E27FC236}">
              <a16:creationId xmlns:a16="http://schemas.microsoft.com/office/drawing/2014/main" id="{00000000-0008-0000-1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9" name="Imagen 9">
          <a:extLst>
            <a:ext uri="{FF2B5EF4-FFF2-40B4-BE49-F238E27FC236}">
              <a16:creationId xmlns:a16="http://schemas.microsoft.com/office/drawing/2014/main" id="{00000000-0008-0000-1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0" name="Imagen 9">
          <a:extLst>
            <a:ext uri="{FF2B5EF4-FFF2-40B4-BE49-F238E27FC236}">
              <a16:creationId xmlns:a16="http://schemas.microsoft.com/office/drawing/2014/main" id="{00000000-0008-0000-1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1" name="Imagen 9">
          <a:extLst>
            <a:ext uri="{FF2B5EF4-FFF2-40B4-BE49-F238E27FC236}">
              <a16:creationId xmlns:a16="http://schemas.microsoft.com/office/drawing/2014/main" id="{00000000-0008-0000-1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2" name="Imagen 9">
          <a:extLst>
            <a:ext uri="{FF2B5EF4-FFF2-40B4-BE49-F238E27FC236}">
              <a16:creationId xmlns:a16="http://schemas.microsoft.com/office/drawing/2014/main" id="{00000000-0008-0000-1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3" name="Imagen 9">
          <a:extLst>
            <a:ext uri="{FF2B5EF4-FFF2-40B4-BE49-F238E27FC236}">
              <a16:creationId xmlns:a16="http://schemas.microsoft.com/office/drawing/2014/main" id="{00000000-0008-0000-1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4" name="Imagen 9">
          <a:extLst>
            <a:ext uri="{FF2B5EF4-FFF2-40B4-BE49-F238E27FC236}">
              <a16:creationId xmlns:a16="http://schemas.microsoft.com/office/drawing/2014/main" id="{00000000-0008-0000-1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5" name="Imagen 9">
          <a:extLst>
            <a:ext uri="{FF2B5EF4-FFF2-40B4-BE49-F238E27FC236}">
              <a16:creationId xmlns:a16="http://schemas.microsoft.com/office/drawing/2014/main" id="{00000000-0008-0000-1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6" name="Imagen 9">
          <a:extLst>
            <a:ext uri="{FF2B5EF4-FFF2-40B4-BE49-F238E27FC236}">
              <a16:creationId xmlns:a16="http://schemas.microsoft.com/office/drawing/2014/main" id="{00000000-0008-0000-1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7" name="Imagen 9">
          <a:extLst>
            <a:ext uri="{FF2B5EF4-FFF2-40B4-BE49-F238E27FC236}">
              <a16:creationId xmlns:a16="http://schemas.microsoft.com/office/drawing/2014/main" id="{00000000-0008-0000-1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8" name="Imagen 9">
          <a:extLst>
            <a:ext uri="{FF2B5EF4-FFF2-40B4-BE49-F238E27FC236}">
              <a16:creationId xmlns:a16="http://schemas.microsoft.com/office/drawing/2014/main" id="{00000000-0008-0000-1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9" name="Imagen 9">
          <a:extLst>
            <a:ext uri="{FF2B5EF4-FFF2-40B4-BE49-F238E27FC236}">
              <a16:creationId xmlns:a16="http://schemas.microsoft.com/office/drawing/2014/main" id="{00000000-0008-0000-1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0" name="Imagen 9">
          <a:extLst>
            <a:ext uri="{FF2B5EF4-FFF2-40B4-BE49-F238E27FC236}">
              <a16:creationId xmlns:a16="http://schemas.microsoft.com/office/drawing/2014/main" id="{00000000-0008-0000-1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1" name="Imagen 9">
          <a:extLst>
            <a:ext uri="{FF2B5EF4-FFF2-40B4-BE49-F238E27FC236}">
              <a16:creationId xmlns:a16="http://schemas.microsoft.com/office/drawing/2014/main" id="{00000000-0008-0000-1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2" name="Imagen 9">
          <a:extLst>
            <a:ext uri="{FF2B5EF4-FFF2-40B4-BE49-F238E27FC236}">
              <a16:creationId xmlns:a16="http://schemas.microsoft.com/office/drawing/2014/main" id="{00000000-0008-0000-1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3" name="Imagen 9">
          <a:extLst>
            <a:ext uri="{FF2B5EF4-FFF2-40B4-BE49-F238E27FC236}">
              <a16:creationId xmlns:a16="http://schemas.microsoft.com/office/drawing/2014/main" id="{00000000-0008-0000-1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4" name="Imagen 9">
          <a:extLst>
            <a:ext uri="{FF2B5EF4-FFF2-40B4-BE49-F238E27FC236}">
              <a16:creationId xmlns:a16="http://schemas.microsoft.com/office/drawing/2014/main" id="{00000000-0008-0000-1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5" name="Imagen 9">
          <a:extLst>
            <a:ext uri="{FF2B5EF4-FFF2-40B4-BE49-F238E27FC236}">
              <a16:creationId xmlns:a16="http://schemas.microsoft.com/office/drawing/2014/main" id="{00000000-0008-0000-1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6" name="Imagen 9">
          <a:extLst>
            <a:ext uri="{FF2B5EF4-FFF2-40B4-BE49-F238E27FC236}">
              <a16:creationId xmlns:a16="http://schemas.microsoft.com/office/drawing/2014/main" id="{00000000-0008-0000-1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7" name="Imagen 9">
          <a:extLst>
            <a:ext uri="{FF2B5EF4-FFF2-40B4-BE49-F238E27FC236}">
              <a16:creationId xmlns:a16="http://schemas.microsoft.com/office/drawing/2014/main" id="{00000000-0008-0000-1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8" name="Imagen 9">
          <a:extLst>
            <a:ext uri="{FF2B5EF4-FFF2-40B4-BE49-F238E27FC236}">
              <a16:creationId xmlns:a16="http://schemas.microsoft.com/office/drawing/2014/main" id="{00000000-0008-0000-1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9" name="Imagen 9">
          <a:extLst>
            <a:ext uri="{FF2B5EF4-FFF2-40B4-BE49-F238E27FC236}">
              <a16:creationId xmlns:a16="http://schemas.microsoft.com/office/drawing/2014/main" id="{00000000-0008-0000-1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0" name="Imagen 9">
          <a:extLst>
            <a:ext uri="{FF2B5EF4-FFF2-40B4-BE49-F238E27FC236}">
              <a16:creationId xmlns:a16="http://schemas.microsoft.com/office/drawing/2014/main" id="{00000000-0008-0000-1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1" name="Imagen 9">
          <a:extLst>
            <a:ext uri="{FF2B5EF4-FFF2-40B4-BE49-F238E27FC236}">
              <a16:creationId xmlns:a16="http://schemas.microsoft.com/office/drawing/2014/main" id="{00000000-0008-0000-1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2" name="Imagen 9">
          <a:extLst>
            <a:ext uri="{FF2B5EF4-FFF2-40B4-BE49-F238E27FC236}">
              <a16:creationId xmlns:a16="http://schemas.microsoft.com/office/drawing/2014/main" id="{00000000-0008-0000-1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3" name="Imagen 9">
          <a:extLst>
            <a:ext uri="{FF2B5EF4-FFF2-40B4-BE49-F238E27FC236}">
              <a16:creationId xmlns:a16="http://schemas.microsoft.com/office/drawing/2014/main" id="{00000000-0008-0000-1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4" name="Imagen 9">
          <a:extLst>
            <a:ext uri="{FF2B5EF4-FFF2-40B4-BE49-F238E27FC236}">
              <a16:creationId xmlns:a16="http://schemas.microsoft.com/office/drawing/2014/main" id="{00000000-0008-0000-1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5" name="Imagen 9">
          <a:extLst>
            <a:ext uri="{FF2B5EF4-FFF2-40B4-BE49-F238E27FC236}">
              <a16:creationId xmlns:a16="http://schemas.microsoft.com/office/drawing/2014/main" id="{00000000-0008-0000-1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6" name="Imagen 9">
          <a:extLst>
            <a:ext uri="{FF2B5EF4-FFF2-40B4-BE49-F238E27FC236}">
              <a16:creationId xmlns:a16="http://schemas.microsoft.com/office/drawing/2014/main" id="{00000000-0008-0000-1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7" name="Imagen 9">
          <a:extLst>
            <a:ext uri="{FF2B5EF4-FFF2-40B4-BE49-F238E27FC236}">
              <a16:creationId xmlns:a16="http://schemas.microsoft.com/office/drawing/2014/main" id="{00000000-0008-0000-1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8" name="Imagen 9">
          <a:extLst>
            <a:ext uri="{FF2B5EF4-FFF2-40B4-BE49-F238E27FC236}">
              <a16:creationId xmlns:a16="http://schemas.microsoft.com/office/drawing/2014/main" id="{00000000-0008-0000-1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9" name="Imagen 9">
          <a:extLst>
            <a:ext uri="{FF2B5EF4-FFF2-40B4-BE49-F238E27FC236}">
              <a16:creationId xmlns:a16="http://schemas.microsoft.com/office/drawing/2014/main" id="{00000000-0008-0000-1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0" name="Imagen 9">
          <a:extLst>
            <a:ext uri="{FF2B5EF4-FFF2-40B4-BE49-F238E27FC236}">
              <a16:creationId xmlns:a16="http://schemas.microsoft.com/office/drawing/2014/main" id="{00000000-0008-0000-1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1" name="Imagen 9">
          <a:extLst>
            <a:ext uri="{FF2B5EF4-FFF2-40B4-BE49-F238E27FC236}">
              <a16:creationId xmlns:a16="http://schemas.microsoft.com/office/drawing/2014/main" id="{00000000-0008-0000-1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2" name="Imagen 9">
          <a:extLst>
            <a:ext uri="{FF2B5EF4-FFF2-40B4-BE49-F238E27FC236}">
              <a16:creationId xmlns:a16="http://schemas.microsoft.com/office/drawing/2014/main" id="{00000000-0008-0000-1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3" name="Imagen 9">
          <a:extLst>
            <a:ext uri="{FF2B5EF4-FFF2-40B4-BE49-F238E27FC236}">
              <a16:creationId xmlns:a16="http://schemas.microsoft.com/office/drawing/2014/main" id="{00000000-0008-0000-1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1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1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1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1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1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1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1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1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11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1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1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11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11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1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11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11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11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11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11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11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11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11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11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11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11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11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11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11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11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11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11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11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00000000-0008-0000-11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00000000-0008-0000-11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00000000-0008-0000-11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00000000-0008-0000-1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00000000-0008-0000-11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00000000-0008-0000-11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00000000-0008-0000-11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00000000-0008-0000-11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00000000-0008-0000-11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00000000-0008-0000-11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00000000-0008-0000-11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0" name="Imagen 9">
          <a:extLst>
            <a:ext uri="{FF2B5EF4-FFF2-40B4-BE49-F238E27FC236}">
              <a16:creationId xmlns:a16="http://schemas.microsoft.com/office/drawing/2014/main" id="{00000000-0008-0000-11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1" name="Imagen 9">
          <a:extLst>
            <a:ext uri="{FF2B5EF4-FFF2-40B4-BE49-F238E27FC236}">
              <a16:creationId xmlns:a16="http://schemas.microsoft.com/office/drawing/2014/main" id="{00000000-0008-0000-11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2" name="Imagen 9">
          <a:extLst>
            <a:ext uri="{FF2B5EF4-FFF2-40B4-BE49-F238E27FC236}">
              <a16:creationId xmlns:a16="http://schemas.microsoft.com/office/drawing/2014/main" id="{00000000-0008-0000-11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3" name="Imagen 9">
          <a:extLst>
            <a:ext uri="{FF2B5EF4-FFF2-40B4-BE49-F238E27FC236}">
              <a16:creationId xmlns:a16="http://schemas.microsoft.com/office/drawing/2014/main" id="{00000000-0008-0000-11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4" name="Imagen 9">
          <a:extLst>
            <a:ext uri="{FF2B5EF4-FFF2-40B4-BE49-F238E27FC236}">
              <a16:creationId xmlns:a16="http://schemas.microsoft.com/office/drawing/2014/main" id="{00000000-0008-0000-11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5" name="Imagen 9">
          <a:extLst>
            <a:ext uri="{FF2B5EF4-FFF2-40B4-BE49-F238E27FC236}">
              <a16:creationId xmlns:a16="http://schemas.microsoft.com/office/drawing/2014/main" id="{00000000-0008-0000-11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6" name="Imagen 9">
          <a:extLst>
            <a:ext uri="{FF2B5EF4-FFF2-40B4-BE49-F238E27FC236}">
              <a16:creationId xmlns:a16="http://schemas.microsoft.com/office/drawing/2014/main" id="{00000000-0008-0000-11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00000000-0008-0000-11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8" name="Imagen 9">
          <a:extLst>
            <a:ext uri="{FF2B5EF4-FFF2-40B4-BE49-F238E27FC236}">
              <a16:creationId xmlns:a16="http://schemas.microsoft.com/office/drawing/2014/main" id="{00000000-0008-0000-11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9" name="Imagen 9">
          <a:extLst>
            <a:ext uri="{FF2B5EF4-FFF2-40B4-BE49-F238E27FC236}">
              <a16:creationId xmlns:a16="http://schemas.microsoft.com/office/drawing/2014/main" id="{00000000-0008-0000-11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0" name="Imagen 9">
          <a:extLst>
            <a:ext uri="{FF2B5EF4-FFF2-40B4-BE49-F238E27FC236}">
              <a16:creationId xmlns:a16="http://schemas.microsoft.com/office/drawing/2014/main" id="{00000000-0008-0000-11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1" name="Imagen 9">
          <a:extLst>
            <a:ext uri="{FF2B5EF4-FFF2-40B4-BE49-F238E27FC236}">
              <a16:creationId xmlns:a16="http://schemas.microsoft.com/office/drawing/2014/main" id="{00000000-0008-0000-11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2" name="Imagen 9">
          <a:extLst>
            <a:ext uri="{FF2B5EF4-FFF2-40B4-BE49-F238E27FC236}">
              <a16:creationId xmlns:a16="http://schemas.microsoft.com/office/drawing/2014/main" id="{00000000-0008-0000-11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3" name="Imagen 9">
          <a:extLst>
            <a:ext uri="{FF2B5EF4-FFF2-40B4-BE49-F238E27FC236}">
              <a16:creationId xmlns:a16="http://schemas.microsoft.com/office/drawing/2014/main" id="{00000000-0008-0000-11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4" name="Imagen 9">
          <a:extLst>
            <a:ext uri="{FF2B5EF4-FFF2-40B4-BE49-F238E27FC236}">
              <a16:creationId xmlns:a16="http://schemas.microsoft.com/office/drawing/2014/main" id="{00000000-0008-0000-11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5" name="Imagen 9">
          <a:extLst>
            <a:ext uri="{FF2B5EF4-FFF2-40B4-BE49-F238E27FC236}">
              <a16:creationId xmlns:a16="http://schemas.microsoft.com/office/drawing/2014/main" id="{00000000-0008-0000-11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6" name="Imagen 9">
          <a:extLst>
            <a:ext uri="{FF2B5EF4-FFF2-40B4-BE49-F238E27FC236}">
              <a16:creationId xmlns:a16="http://schemas.microsoft.com/office/drawing/2014/main" id="{00000000-0008-0000-11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7" name="Imagen 9">
          <a:extLst>
            <a:ext uri="{FF2B5EF4-FFF2-40B4-BE49-F238E27FC236}">
              <a16:creationId xmlns:a16="http://schemas.microsoft.com/office/drawing/2014/main" id="{00000000-0008-0000-11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8" name="Imagen 9">
          <a:extLst>
            <a:ext uri="{FF2B5EF4-FFF2-40B4-BE49-F238E27FC236}">
              <a16:creationId xmlns:a16="http://schemas.microsoft.com/office/drawing/2014/main" id="{00000000-0008-0000-11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9" name="Imagen 9">
          <a:extLst>
            <a:ext uri="{FF2B5EF4-FFF2-40B4-BE49-F238E27FC236}">
              <a16:creationId xmlns:a16="http://schemas.microsoft.com/office/drawing/2014/main" id="{00000000-0008-0000-11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0" name="Imagen 9">
          <a:extLst>
            <a:ext uri="{FF2B5EF4-FFF2-40B4-BE49-F238E27FC236}">
              <a16:creationId xmlns:a16="http://schemas.microsoft.com/office/drawing/2014/main" id="{00000000-0008-0000-11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1" name="Imagen 9">
          <a:extLst>
            <a:ext uri="{FF2B5EF4-FFF2-40B4-BE49-F238E27FC236}">
              <a16:creationId xmlns:a16="http://schemas.microsoft.com/office/drawing/2014/main" id="{00000000-0008-0000-11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2" name="Imagen 9">
          <a:extLst>
            <a:ext uri="{FF2B5EF4-FFF2-40B4-BE49-F238E27FC236}">
              <a16:creationId xmlns:a16="http://schemas.microsoft.com/office/drawing/2014/main" id="{00000000-0008-0000-11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3" name="Imagen 9">
          <a:extLst>
            <a:ext uri="{FF2B5EF4-FFF2-40B4-BE49-F238E27FC236}">
              <a16:creationId xmlns:a16="http://schemas.microsoft.com/office/drawing/2014/main" id="{00000000-0008-0000-11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4" name="Imagen 9">
          <a:extLst>
            <a:ext uri="{FF2B5EF4-FFF2-40B4-BE49-F238E27FC236}">
              <a16:creationId xmlns:a16="http://schemas.microsoft.com/office/drawing/2014/main" id="{00000000-0008-0000-11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5" name="Imagen 9">
          <a:extLst>
            <a:ext uri="{FF2B5EF4-FFF2-40B4-BE49-F238E27FC236}">
              <a16:creationId xmlns:a16="http://schemas.microsoft.com/office/drawing/2014/main" id="{00000000-0008-0000-11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6" name="Imagen 9">
          <a:extLst>
            <a:ext uri="{FF2B5EF4-FFF2-40B4-BE49-F238E27FC236}">
              <a16:creationId xmlns:a16="http://schemas.microsoft.com/office/drawing/2014/main" id="{00000000-0008-0000-11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7" name="Imagen 9">
          <a:extLst>
            <a:ext uri="{FF2B5EF4-FFF2-40B4-BE49-F238E27FC236}">
              <a16:creationId xmlns:a16="http://schemas.microsoft.com/office/drawing/2014/main" id="{00000000-0008-0000-11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8" name="Imagen 9">
          <a:extLst>
            <a:ext uri="{FF2B5EF4-FFF2-40B4-BE49-F238E27FC236}">
              <a16:creationId xmlns:a16="http://schemas.microsoft.com/office/drawing/2014/main" id="{00000000-0008-0000-11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9" name="Imagen 9">
          <a:extLst>
            <a:ext uri="{FF2B5EF4-FFF2-40B4-BE49-F238E27FC236}">
              <a16:creationId xmlns:a16="http://schemas.microsoft.com/office/drawing/2014/main" id="{00000000-0008-0000-11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0" name="Imagen 9">
          <a:extLst>
            <a:ext uri="{FF2B5EF4-FFF2-40B4-BE49-F238E27FC236}">
              <a16:creationId xmlns:a16="http://schemas.microsoft.com/office/drawing/2014/main" id="{00000000-0008-0000-11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1" name="Imagen 9">
          <a:extLst>
            <a:ext uri="{FF2B5EF4-FFF2-40B4-BE49-F238E27FC236}">
              <a16:creationId xmlns:a16="http://schemas.microsoft.com/office/drawing/2014/main" id="{00000000-0008-0000-11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2" name="Imagen 9">
          <a:extLst>
            <a:ext uri="{FF2B5EF4-FFF2-40B4-BE49-F238E27FC236}">
              <a16:creationId xmlns:a16="http://schemas.microsoft.com/office/drawing/2014/main" id="{00000000-0008-0000-11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3" name="Imagen 9">
          <a:extLst>
            <a:ext uri="{FF2B5EF4-FFF2-40B4-BE49-F238E27FC236}">
              <a16:creationId xmlns:a16="http://schemas.microsoft.com/office/drawing/2014/main" id="{00000000-0008-0000-11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4" name="Imagen 9">
          <a:extLst>
            <a:ext uri="{FF2B5EF4-FFF2-40B4-BE49-F238E27FC236}">
              <a16:creationId xmlns:a16="http://schemas.microsoft.com/office/drawing/2014/main" id="{00000000-0008-0000-11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5" name="Imagen 9">
          <a:extLst>
            <a:ext uri="{FF2B5EF4-FFF2-40B4-BE49-F238E27FC236}">
              <a16:creationId xmlns:a16="http://schemas.microsoft.com/office/drawing/2014/main" id="{00000000-0008-0000-11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6" name="Imagen 9">
          <a:extLst>
            <a:ext uri="{FF2B5EF4-FFF2-40B4-BE49-F238E27FC236}">
              <a16:creationId xmlns:a16="http://schemas.microsoft.com/office/drawing/2014/main" id="{00000000-0008-0000-11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7" name="Imagen 9">
          <a:extLst>
            <a:ext uri="{FF2B5EF4-FFF2-40B4-BE49-F238E27FC236}">
              <a16:creationId xmlns:a16="http://schemas.microsoft.com/office/drawing/2014/main" id="{00000000-0008-0000-11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8" name="Imagen 9">
          <a:extLst>
            <a:ext uri="{FF2B5EF4-FFF2-40B4-BE49-F238E27FC236}">
              <a16:creationId xmlns:a16="http://schemas.microsoft.com/office/drawing/2014/main" id="{00000000-0008-0000-11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9" name="Imagen 9">
          <a:extLst>
            <a:ext uri="{FF2B5EF4-FFF2-40B4-BE49-F238E27FC236}">
              <a16:creationId xmlns:a16="http://schemas.microsoft.com/office/drawing/2014/main" id="{00000000-0008-0000-11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0" name="Imagen 9">
          <a:extLst>
            <a:ext uri="{FF2B5EF4-FFF2-40B4-BE49-F238E27FC236}">
              <a16:creationId xmlns:a16="http://schemas.microsoft.com/office/drawing/2014/main" id="{00000000-0008-0000-11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1" name="Imagen 9">
          <a:extLst>
            <a:ext uri="{FF2B5EF4-FFF2-40B4-BE49-F238E27FC236}">
              <a16:creationId xmlns:a16="http://schemas.microsoft.com/office/drawing/2014/main" id="{00000000-0008-0000-11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2" name="Imagen 9">
          <a:extLst>
            <a:ext uri="{FF2B5EF4-FFF2-40B4-BE49-F238E27FC236}">
              <a16:creationId xmlns:a16="http://schemas.microsoft.com/office/drawing/2014/main" id="{00000000-0008-0000-11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3" name="Imagen 9">
          <a:extLst>
            <a:ext uri="{FF2B5EF4-FFF2-40B4-BE49-F238E27FC236}">
              <a16:creationId xmlns:a16="http://schemas.microsoft.com/office/drawing/2014/main" id="{00000000-0008-0000-11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4" name="Imagen 9">
          <a:extLst>
            <a:ext uri="{FF2B5EF4-FFF2-40B4-BE49-F238E27FC236}">
              <a16:creationId xmlns:a16="http://schemas.microsoft.com/office/drawing/2014/main" id="{00000000-0008-0000-11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5" name="Imagen 9">
          <a:extLst>
            <a:ext uri="{FF2B5EF4-FFF2-40B4-BE49-F238E27FC236}">
              <a16:creationId xmlns:a16="http://schemas.microsoft.com/office/drawing/2014/main" id="{00000000-0008-0000-11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6" name="Imagen 9">
          <a:extLst>
            <a:ext uri="{FF2B5EF4-FFF2-40B4-BE49-F238E27FC236}">
              <a16:creationId xmlns:a16="http://schemas.microsoft.com/office/drawing/2014/main" id="{00000000-0008-0000-11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7" name="Imagen 9">
          <a:extLst>
            <a:ext uri="{FF2B5EF4-FFF2-40B4-BE49-F238E27FC236}">
              <a16:creationId xmlns:a16="http://schemas.microsoft.com/office/drawing/2014/main" id="{00000000-0008-0000-11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8" name="Imagen 9">
          <a:extLst>
            <a:ext uri="{FF2B5EF4-FFF2-40B4-BE49-F238E27FC236}">
              <a16:creationId xmlns:a16="http://schemas.microsoft.com/office/drawing/2014/main" id="{00000000-0008-0000-11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9" name="Imagen 9">
          <a:extLst>
            <a:ext uri="{FF2B5EF4-FFF2-40B4-BE49-F238E27FC236}">
              <a16:creationId xmlns:a16="http://schemas.microsoft.com/office/drawing/2014/main" id="{00000000-0008-0000-11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0" name="Imagen 9">
          <a:extLst>
            <a:ext uri="{FF2B5EF4-FFF2-40B4-BE49-F238E27FC236}">
              <a16:creationId xmlns:a16="http://schemas.microsoft.com/office/drawing/2014/main" id="{00000000-0008-0000-11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1" name="Imagen 9">
          <a:extLst>
            <a:ext uri="{FF2B5EF4-FFF2-40B4-BE49-F238E27FC236}">
              <a16:creationId xmlns:a16="http://schemas.microsoft.com/office/drawing/2014/main" id="{00000000-0008-0000-11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2" name="Imagen 9">
          <a:extLst>
            <a:ext uri="{FF2B5EF4-FFF2-40B4-BE49-F238E27FC236}">
              <a16:creationId xmlns:a16="http://schemas.microsoft.com/office/drawing/2014/main" id="{00000000-0008-0000-11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3" name="Imagen 9">
          <a:extLst>
            <a:ext uri="{FF2B5EF4-FFF2-40B4-BE49-F238E27FC236}">
              <a16:creationId xmlns:a16="http://schemas.microsoft.com/office/drawing/2014/main" id="{00000000-0008-0000-11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1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1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1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1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1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1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1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1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1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1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1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1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1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1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1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1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1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1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1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12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1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1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1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1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12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12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12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12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12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12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12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1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12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12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12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12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12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12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12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00000000-0008-0000-12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00000000-0008-0000-12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00000000-0008-0000-12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00000000-0008-0000-12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00000000-0008-0000-12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00000000-0008-0000-12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00000000-0008-0000-12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00000000-0008-0000-12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00000000-0008-0000-12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00000000-0008-0000-12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00000000-0008-0000-12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0" name="Imagen 9">
          <a:extLst>
            <a:ext uri="{FF2B5EF4-FFF2-40B4-BE49-F238E27FC236}">
              <a16:creationId xmlns:a16="http://schemas.microsoft.com/office/drawing/2014/main" id="{00000000-0008-0000-12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1" name="Imagen 9">
          <a:extLst>
            <a:ext uri="{FF2B5EF4-FFF2-40B4-BE49-F238E27FC236}">
              <a16:creationId xmlns:a16="http://schemas.microsoft.com/office/drawing/2014/main" id="{00000000-0008-0000-12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2" name="Imagen 9">
          <a:extLst>
            <a:ext uri="{FF2B5EF4-FFF2-40B4-BE49-F238E27FC236}">
              <a16:creationId xmlns:a16="http://schemas.microsoft.com/office/drawing/2014/main" id="{00000000-0008-0000-12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3" name="Imagen 9">
          <a:extLst>
            <a:ext uri="{FF2B5EF4-FFF2-40B4-BE49-F238E27FC236}">
              <a16:creationId xmlns:a16="http://schemas.microsoft.com/office/drawing/2014/main" id="{00000000-0008-0000-12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4" name="Imagen 9">
          <a:extLst>
            <a:ext uri="{FF2B5EF4-FFF2-40B4-BE49-F238E27FC236}">
              <a16:creationId xmlns:a16="http://schemas.microsoft.com/office/drawing/2014/main" id="{00000000-0008-0000-12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5" name="Imagen 9">
          <a:extLst>
            <a:ext uri="{FF2B5EF4-FFF2-40B4-BE49-F238E27FC236}">
              <a16:creationId xmlns:a16="http://schemas.microsoft.com/office/drawing/2014/main" id="{00000000-0008-0000-12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6" name="Imagen 9">
          <a:extLst>
            <a:ext uri="{FF2B5EF4-FFF2-40B4-BE49-F238E27FC236}">
              <a16:creationId xmlns:a16="http://schemas.microsoft.com/office/drawing/2014/main" id="{00000000-0008-0000-12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00000000-0008-0000-12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8" name="Imagen 9">
          <a:extLst>
            <a:ext uri="{FF2B5EF4-FFF2-40B4-BE49-F238E27FC236}">
              <a16:creationId xmlns:a16="http://schemas.microsoft.com/office/drawing/2014/main" id="{00000000-0008-0000-12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9" name="Imagen 9">
          <a:extLst>
            <a:ext uri="{FF2B5EF4-FFF2-40B4-BE49-F238E27FC236}">
              <a16:creationId xmlns:a16="http://schemas.microsoft.com/office/drawing/2014/main" id="{00000000-0008-0000-12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0" name="Imagen 9">
          <a:extLst>
            <a:ext uri="{FF2B5EF4-FFF2-40B4-BE49-F238E27FC236}">
              <a16:creationId xmlns:a16="http://schemas.microsoft.com/office/drawing/2014/main" id="{00000000-0008-0000-12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1" name="Imagen 9">
          <a:extLst>
            <a:ext uri="{FF2B5EF4-FFF2-40B4-BE49-F238E27FC236}">
              <a16:creationId xmlns:a16="http://schemas.microsoft.com/office/drawing/2014/main" id="{00000000-0008-0000-12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2" name="Imagen 9">
          <a:extLst>
            <a:ext uri="{FF2B5EF4-FFF2-40B4-BE49-F238E27FC236}">
              <a16:creationId xmlns:a16="http://schemas.microsoft.com/office/drawing/2014/main" id="{00000000-0008-0000-12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3" name="Imagen 9">
          <a:extLst>
            <a:ext uri="{FF2B5EF4-FFF2-40B4-BE49-F238E27FC236}">
              <a16:creationId xmlns:a16="http://schemas.microsoft.com/office/drawing/2014/main" id="{00000000-0008-0000-12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4" name="Imagen 9">
          <a:extLst>
            <a:ext uri="{FF2B5EF4-FFF2-40B4-BE49-F238E27FC236}">
              <a16:creationId xmlns:a16="http://schemas.microsoft.com/office/drawing/2014/main" id="{00000000-0008-0000-12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5" name="Imagen 9">
          <a:extLst>
            <a:ext uri="{FF2B5EF4-FFF2-40B4-BE49-F238E27FC236}">
              <a16:creationId xmlns:a16="http://schemas.microsoft.com/office/drawing/2014/main" id="{00000000-0008-0000-12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6" name="Imagen 9">
          <a:extLst>
            <a:ext uri="{FF2B5EF4-FFF2-40B4-BE49-F238E27FC236}">
              <a16:creationId xmlns:a16="http://schemas.microsoft.com/office/drawing/2014/main" id="{00000000-0008-0000-12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7" name="Imagen 9">
          <a:extLst>
            <a:ext uri="{FF2B5EF4-FFF2-40B4-BE49-F238E27FC236}">
              <a16:creationId xmlns:a16="http://schemas.microsoft.com/office/drawing/2014/main" id="{00000000-0008-0000-12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8" name="Imagen 9">
          <a:extLst>
            <a:ext uri="{FF2B5EF4-FFF2-40B4-BE49-F238E27FC236}">
              <a16:creationId xmlns:a16="http://schemas.microsoft.com/office/drawing/2014/main" id="{00000000-0008-0000-12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9" name="Imagen 9">
          <a:extLst>
            <a:ext uri="{FF2B5EF4-FFF2-40B4-BE49-F238E27FC236}">
              <a16:creationId xmlns:a16="http://schemas.microsoft.com/office/drawing/2014/main" id="{00000000-0008-0000-12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0" name="Imagen 9">
          <a:extLst>
            <a:ext uri="{FF2B5EF4-FFF2-40B4-BE49-F238E27FC236}">
              <a16:creationId xmlns:a16="http://schemas.microsoft.com/office/drawing/2014/main" id="{00000000-0008-0000-12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1" name="Imagen 9">
          <a:extLst>
            <a:ext uri="{FF2B5EF4-FFF2-40B4-BE49-F238E27FC236}">
              <a16:creationId xmlns:a16="http://schemas.microsoft.com/office/drawing/2014/main" id="{00000000-0008-0000-12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2" name="Imagen 9">
          <a:extLst>
            <a:ext uri="{FF2B5EF4-FFF2-40B4-BE49-F238E27FC236}">
              <a16:creationId xmlns:a16="http://schemas.microsoft.com/office/drawing/2014/main" id="{00000000-0008-0000-12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3" name="Imagen 9">
          <a:extLst>
            <a:ext uri="{FF2B5EF4-FFF2-40B4-BE49-F238E27FC236}">
              <a16:creationId xmlns:a16="http://schemas.microsoft.com/office/drawing/2014/main" id="{00000000-0008-0000-12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4" name="Imagen 9">
          <a:extLst>
            <a:ext uri="{FF2B5EF4-FFF2-40B4-BE49-F238E27FC236}">
              <a16:creationId xmlns:a16="http://schemas.microsoft.com/office/drawing/2014/main" id="{00000000-0008-0000-12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5" name="Imagen 9">
          <a:extLst>
            <a:ext uri="{FF2B5EF4-FFF2-40B4-BE49-F238E27FC236}">
              <a16:creationId xmlns:a16="http://schemas.microsoft.com/office/drawing/2014/main" id="{00000000-0008-0000-12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6" name="Imagen 9">
          <a:extLst>
            <a:ext uri="{FF2B5EF4-FFF2-40B4-BE49-F238E27FC236}">
              <a16:creationId xmlns:a16="http://schemas.microsoft.com/office/drawing/2014/main" id="{00000000-0008-0000-12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7" name="Imagen 9">
          <a:extLst>
            <a:ext uri="{FF2B5EF4-FFF2-40B4-BE49-F238E27FC236}">
              <a16:creationId xmlns:a16="http://schemas.microsoft.com/office/drawing/2014/main" id="{00000000-0008-0000-12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8" name="Imagen 9">
          <a:extLst>
            <a:ext uri="{FF2B5EF4-FFF2-40B4-BE49-F238E27FC236}">
              <a16:creationId xmlns:a16="http://schemas.microsoft.com/office/drawing/2014/main" id="{00000000-0008-0000-12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9" name="Imagen 9">
          <a:extLst>
            <a:ext uri="{FF2B5EF4-FFF2-40B4-BE49-F238E27FC236}">
              <a16:creationId xmlns:a16="http://schemas.microsoft.com/office/drawing/2014/main" id="{00000000-0008-0000-12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0" name="Imagen 9">
          <a:extLst>
            <a:ext uri="{FF2B5EF4-FFF2-40B4-BE49-F238E27FC236}">
              <a16:creationId xmlns:a16="http://schemas.microsoft.com/office/drawing/2014/main" id="{00000000-0008-0000-12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1" name="Imagen 9">
          <a:extLst>
            <a:ext uri="{FF2B5EF4-FFF2-40B4-BE49-F238E27FC236}">
              <a16:creationId xmlns:a16="http://schemas.microsoft.com/office/drawing/2014/main" id="{00000000-0008-0000-12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2" name="Imagen 9">
          <a:extLst>
            <a:ext uri="{FF2B5EF4-FFF2-40B4-BE49-F238E27FC236}">
              <a16:creationId xmlns:a16="http://schemas.microsoft.com/office/drawing/2014/main" id="{00000000-0008-0000-12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3" name="Imagen 9">
          <a:extLst>
            <a:ext uri="{FF2B5EF4-FFF2-40B4-BE49-F238E27FC236}">
              <a16:creationId xmlns:a16="http://schemas.microsoft.com/office/drawing/2014/main" id="{00000000-0008-0000-12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4" name="Imagen 9">
          <a:extLst>
            <a:ext uri="{FF2B5EF4-FFF2-40B4-BE49-F238E27FC236}">
              <a16:creationId xmlns:a16="http://schemas.microsoft.com/office/drawing/2014/main" id="{00000000-0008-0000-12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5" name="Imagen 9">
          <a:extLst>
            <a:ext uri="{FF2B5EF4-FFF2-40B4-BE49-F238E27FC236}">
              <a16:creationId xmlns:a16="http://schemas.microsoft.com/office/drawing/2014/main" id="{00000000-0008-0000-12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6" name="Imagen 9">
          <a:extLst>
            <a:ext uri="{FF2B5EF4-FFF2-40B4-BE49-F238E27FC236}">
              <a16:creationId xmlns:a16="http://schemas.microsoft.com/office/drawing/2014/main" id="{00000000-0008-0000-12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7" name="Imagen 9">
          <a:extLst>
            <a:ext uri="{FF2B5EF4-FFF2-40B4-BE49-F238E27FC236}">
              <a16:creationId xmlns:a16="http://schemas.microsoft.com/office/drawing/2014/main" id="{00000000-0008-0000-12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8" name="Imagen 9">
          <a:extLst>
            <a:ext uri="{FF2B5EF4-FFF2-40B4-BE49-F238E27FC236}">
              <a16:creationId xmlns:a16="http://schemas.microsoft.com/office/drawing/2014/main" id="{00000000-0008-0000-12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9" name="Imagen 9">
          <a:extLst>
            <a:ext uri="{FF2B5EF4-FFF2-40B4-BE49-F238E27FC236}">
              <a16:creationId xmlns:a16="http://schemas.microsoft.com/office/drawing/2014/main" id="{00000000-0008-0000-12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0" name="Imagen 9">
          <a:extLst>
            <a:ext uri="{FF2B5EF4-FFF2-40B4-BE49-F238E27FC236}">
              <a16:creationId xmlns:a16="http://schemas.microsoft.com/office/drawing/2014/main" id="{00000000-0008-0000-12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1" name="Imagen 9">
          <a:extLst>
            <a:ext uri="{FF2B5EF4-FFF2-40B4-BE49-F238E27FC236}">
              <a16:creationId xmlns:a16="http://schemas.microsoft.com/office/drawing/2014/main" id="{00000000-0008-0000-12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2" name="Imagen 9">
          <a:extLst>
            <a:ext uri="{FF2B5EF4-FFF2-40B4-BE49-F238E27FC236}">
              <a16:creationId xmlns:a16="http://schemas.microsoft.com/office/drawing/2014/main" id="{00000000-0008-0000-12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3" name="Imagen 9">
          <a:extLst>
            <a:ext uri="{FF2B5EF4-FFF2-40B4-BE49-F238E27FC236}">
              <a16:creationId xmlns:a16="http://schemas.microsoft.com/office/drawing/2014/main" id="{00000000-0008-0000-12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4" name="Imagen 9">
          <a:extLst>
            <a:ext uri="{FF2B5EF4-FFF2-40B4-BE49-F238E27FC236}">
              <a16:creationId xmlns:a16="http://schemas.microsoft.com/office/drawing/2014/main" id="{00000000-0008-0000-12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5" name="Imagen 9">
          <a:extLst>
            <a:ext uri="{FF2B5EF4-FFF2-40B4-BE49-F238E27FC236}">
              <a16:creationId xmlns:a16="http://schemas.microsoft.com/office/drawing/2014/main" id="{00000000-0008-0000-12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6" name="Imagen 9">
          <a:extLst>
            <a:ext uri="{FF2B5EF4-FFF2-40B4-BE49-F238E27FC236}">
              <a16:creationId xmlns:a16="http://schemas.microsoft.com/office/drawing/2014/main" id="{00000000-0008-0000-12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7" name="Imagen 9">
          <a:extLst>
            <a:ext uri="{FF2B5EF4-FFF2-40B4-BE49-F238E27FC236}">
              <a16:creationId xmlns:a16="http://schemas.microsoft.com/office/drawing/2014/main" id="{00000000-0008-0000-12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8" name="Imagen 9">
          <a:extLst>
            <a:ext uri="{FF2B5EF4-FFF2-40B4-BE49-F238E27FC236}">
              <a16:creationId xmlns:a16="http://schemas.microsoft.com/office/drawing/2014/main" id="{00000000-0008-0000-12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9" name="Imagen 9">
          <a:extLst>
            <a:ext uri="{FF2B5EF4-FFF2-40B4-BE49-F238E27FC236}">
              <a16:creationId xmlns:a16="http://schemas.microsoft.com/office/drawing/2014/main" id="{00000000-0008-0000-12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0" name="Imagen 9">
          <a:extLst>
            <a:ext uri="{FF2B5EF4-FFF2-40B4-BE49-F238E27FC236}">
              <a16:creationId xmlns:a16="http://schemas.microsoft.com/office/drawing/2014/main" id="{00000000-0008-0000-12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1" name="Imagen 9">
          <a:extLst>
            <a:ext uri="{FF2B5EF4-FFF2-40B4-BE49-F238E27FC236}">
              <a16:creationId xmlns:a16="http://schemas.microsoft.com/office/drawing/2014/main" id="{00000000-0008-0000-12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2" name="Imagen 9">
          <a:extLst>
            <a:ext uri="{FF2B5EF4-FFF2-40B4-BE49-F238E27FC236}">
              <a16:creationId xmlns:a16="http://schemas.microsoft.com/office/drawing/2014/main" id="{00000000-0008-0000-12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3" name="Imagen 9">
          <a:extLst>
            <a:ext uri="{FF2B5EF4-FFF2-40B4-BE49-F238E27FC236}">
              <a16:creationId xmlns:a16="http://schemas.microsoft.com/office/drawing/2014/main" id="{00000000-0008-0000-12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13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13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13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13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13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13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13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13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13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13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13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13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13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13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13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13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13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13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13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13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13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13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13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13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13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13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13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13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00000000-0008-0000-13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00000000-0008-0000-13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00000000-0008-0000-13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00000000-0008-0000-13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00000000-0008-0000-13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00000000-0008-0000-13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00000000-0008-0000-13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00000000-0008-0000-13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00000000-0008-0000-13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00000000-0008-0000-13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00000000-0008-0000-13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0" name="Imagen 9">
          <a:extLst>
            <a:ext uri="{FF2B5EF4-FFF2-40B4-BE49-F238E27FC236}">
              <a16:creationId xmlns:a16="http://schemas.microsoft.com/office/drawing/2014/main" id="{00000000-0008-0000-13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1" name="Imagen 9">
          <a:extLst>
            <a:ext uri="{FF2B5EF4-FFF2-40B4-BE49-F238E27FC236}">
              <a16:creationId xmlns:a16="http://schemas.microsoft.com/office/drawing/2014/main" id="{00000000-0008-0000-13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2" name="Imagen 9">
          <a:extLst>
            <a:ext uri="{FF2B5EF4-FFF2-40B4-BE49-F238E27FC236}">
              <a16:creationId xmlns:a16="http://schemas.microsoft.com/office/drawing/2014/main" id="{00000000-0008-0000-13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3" name="Imagen 9">
          <a:extLst>
            <a:ext uri="{FF2B5EF4-FFF2-40B4-BE49-F238E27FC236}">
              <a16:creationId xmlns:a16="http://schemas.microsoft.com/office/drawing/2014/main" id="{00000000-0008-0000-13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4" name="Imagen 9">
          <a:extLst>
            <a:ext uri="{FF2B5EF4-FFF2-40B4-BE49-F238E27FC236}">
              <a16:creationId xmlns:a16="http://schemas.microsoft.com/office/drawing/2014/main" id="{00000000-0008-0000-13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5" name="Imagen 9">
          <a:extLst>
            <a:ext uri="{FF2B5EF4-FFF2-40B4-BE49-F238E27FC236}">
              <a16:creationId xmlns:a16="http://schemas.microsoft.com/office/drawing/2014/main" id="{00000000-0008-0000-13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6" name="Imagen 9">
          <a:extLst>
            <a:ext uri="{FF2B5EF4-FFF2-40B4-BE49-F238E27FC236}">
              <a16:creationId xmlns:a16="http://schemas.microsoft.com/office/drawing/2014/main" id="{00000000-0008-0000-13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00000000-0008-0000-13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8" name="Imagen 9">
          <a:extLst>
            <a:ext uri="{FF2B5EF4-FFF2-40B4-BE49-F238E27FC236}">
              <a16:creationId xmlns:a16="http://schemas.microsoft.com/office/drawing/2014/main" id="{00000000-0008-0000-13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9" name="Imagen 9">
          <a:extLst>
            <a:ext uri="{FF2B5EF4-FFF2-40B4-BE49-F238E27FC236}">
              <a16:creationId xmlns:a16="http://schemas.microsoft.com/office/drawing/2014/main" id="{00000000-0008-0000-13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0" name="Imagen 9">
          <a:extLst>
            <a:ext uri="{FF2B5EF4-FFF2-40B4-BE49-F238E27FC236}">
              <a16:creationId xmlns:a16="http://schemas.microsoft.com/office/drawing/2014/main" id="{00000000-0008-0000-13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1" name="Imagen 9">
          <a:extLst>
            <a:ext uri="{FF2B5EF4-FFF2-40B4-BE49-F238E27FC236}">
              <a16:creationId xmlns:a16="http://schemas.microsoft.com/office/drawing/2014/main" id="{00000000-0008-0000-13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2" name="Imagen 9">
          <a:extLst>
            <a:ext uri="{FF2B5EF4-FFF2-40B4-BE49-F238E27FC236}">
              <a16:creationId xmlns:a16="http://schemas.microsoft.com/office/drawing/2014/main" id="{00000000-0008-0000-13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3" name="Imagen 9">
          <a:extLst>
            <a:ext uri="{FF2B5EF4-FFF2-40B4-BE49-F238E27FC236}">
              <a16:creationId xmlns:a16="http://schemas.microsoft.com/office/drawing/2014/main" id="{00000000-0008-0000-13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4" name="Imagen 9">
          <a:extLst>
            <a:ext uri="{FF2B5EF4-FFF2-40B4-BE49-F238E27FC236}">
              <a16:creationId xmlns:a16="http://schemas.microsoft.com/office/drawing/2014/main" id="{00000000-0008-0000-13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5" name="Imagen 9">
          <a:extLst>
            <a:ext uri="{FF2B5EF4-FFF2-40B4-BE49-F238E27FC236}">
              <a16:creationId xmlns:a16="http://schemas.microsoft.com/office/drawing/2014/main" id="{00000000-0008-0000-13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6" name="Imagen 9">
          <a:extLst>
            <a:ext uri="{FF2B5EF4-FFF2-40B4-BE49-F238E27FC236}">
              <a16:creationId xmlns:a16="http://schemas.microsoft.com/office/drawing/2014/main" id="{00000000-0008-0000-13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7" name="Imagen 9">
          <a:extLst>
            <a:ext uri="{FF2B5EF4-FFF2-40B4-BE49-F238E27FC236}">
              <a16:creationId xmlns:a16="http://schemas.microsoft.com/office/drawing/2014/main" id="{00000000-0008-0000-13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8" name="Imagen 9">
          <a:extLst>
            <a:ext uri="{FF2B5EF4-FFF2-40B4-BE49-F238E27FC236}">
              <a16:creationId xmlns:a16="http://schemas.microsoft.com/office/drawing/2014/main" id="{00000000-0008-0000-13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9" name="Imagen 9">
          <a:extLst>
            <a:ext uri="{FF2B5EF4-FFF2-40B4-BE49-F238E27FC236}">
              <a16:creationId xmlns:a16="http://schemas.microsoft.com/office/drawing/2014/main" id="{00000000-0008-0000-13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0" name="Imagen 9">
          <a:extLst>
            <a:ext uri="{FF2B5EF4-FFF2-40B4-BE49-F238E27FC236}">
              <a16:creationId xmlns:a16="http://schemas.microsoft.com/office/drawing/2014/main" id="{00000000-0008-0000-13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1" name="Imagen 9">
          <a:extLst>
            <a:ext uri="{FF2B5EF4-FFF2-40B4-BE49-F238E27FC236}">
              <a16:creationId xmlns:a16="http://schemas.microsoft.com/office/drawing/2014/main" id="{00000000-0008-0000-13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2" name="Imagen 9">
          <a:extLst>
            <a:ext uri="{FF2B5EF4-FFF2-40B4-BE49-F238E27FC236}">
              <a16:creationId xmlns:a16="http://schemas.microsoft.com/office/drawing/2014/main" id="{00000000-0008-0000-13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3" name="Imagen 9">
          <a:extLst>
            <a:ext uri="{FF2B5EF4-FFF2-40B4-BE49-F238E27FC236}">
              <a16:creationId xmlns:a16="http://schemas.microsoft.com/office/drawing/2014/main" id="{00000000-0008-0000-13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4" name="Imagen 9">
          <a:extLst>
            <a:ext uri="{FF2B5EF4-FFF2-40B4-BE49-F238E27FC236}">
              <a16:creationId xmlns:a16="http://schemas.microsoft.com/office/drawing/2014/main" id="{00000000-0008-0000-13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5" name="Imagen 9">
          <a:extLst>
            <a:ext uri="{FF2B5EF4-FFF2-40B4-BE49-F238E27FC236}">
              <a16:creationId xmlns:a16="http://schemas.microsoft.com/office/drawing/2014/main" id="{00000000-0008-0000-13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6" name="Imagen 9">
          <a:extLst>
            <a:ext uri="{FF2B5EF4-FFF2-40B4-BE49-F238E27FC236}">
              <a16:creationId xmlns:a16="http://schemas.microsoft.com/office/drawing/2014/main" id="{00000000-0008-0000-13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7" name="Imagen 9">
          <a:extLst>
            <a:ext uri="{FF2B5EF4-FFF2-40B4-BE49-F238E27FC236}">
              <a16:creationId xmlns:a16="http://schemas.microsoft.com/office/drawing/2014/main" id="{00000000-0008-0000-13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8" name="Imagen 9">
          <a:extLst>
            <a:ext uri="{FF2B5EF4-FFF2-40B4-BE49-F238E27FC236}">
              <a16:creationId xmlns:a16="http://schemas.microsoft.com/office/drawing/2014/main" id="{00000000-0008-0000-13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9" name="Imagen 9">
          <a:extLst>
            <a:ext uri="{FF2B5EF4-FFF2-40B4-BE49-F238E27FC236}">
              <a16:creationId xmlns:a16="http://schemas.microsoft.com/office/drawing/2014/main" id="{00000000-0008-0000-13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0" name="Imagen 9">
          <a:extLst>
            <a:ext uri="{FF2B5EF4-FFF2-40B4-BE49-F238E27FC236}">
              <a16:creationId xmlns:a16="http://schemas.microsoft.com/office/drawing/2014/main" id="{00000000-0008-0000-13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1" name="Imagen 9">
          <a:extLst>
            <a:ext uri="{FF2B5EF4-FFF2-40B4-BE49-F238E27FC236}">
              <a16:creationId xmlns:a16="http://schemas.microsoft.com/office/drawing/2014/main" id="{00000000-0008-0000-13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2" name="Imagen 9">
          <a:extLst>
            <a:ext uri="{FF2B5EF4-FFF2-40B4-BE49-F238E27FC236}">
              <a16:creationId xmlns:a16="http://schemas.microsoft.com/office/drawing/2014/main" id="{00000000-0008-0000-13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3" name="Imagen 9">
          <a:extLst>
            <a:ext uri="{FF2B5EF4-FFF2-40B4-BE49-F238E27FC236}">
              <a16:creationId xmlns:a16="http://schemas.microsoft.com/office/drawing/2014/main" id="{00000000-0008-0000-13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4" name="Imagen 9">
          <a:extLst>
            <a:ext uri="{FF2B5EF4-FFF2-40B4-BE49-F238E27FC236}">
              <a16:creationId xmlns:a16="http://schemas.microsoft.com/office/drawing/2014/main" id="{00000000-0008-0000-13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5" name="Imagen 9">
          <a:extLst>
            <a:ext uri="{FF2B5EF4-FFF2-40B4-BE49-F238E27FC236}">
              <a16:creationId xmlns:a16="http://schemas.microsoft.com/office/drawing/2014/main" id="{00000000-0008-0000-13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6" name="Imagen 9">
          <a:extLst>
            <a:ext uri="{FF2B5EF4-FFF2-40B4-BE49-F238E27FC236}">
              <a16:creationId xmlns:a16="http://schemas.microsoft.com/office/drawing/2014/main" id="{00000000-0008-0000-13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7" name="Imagen 9">
          <a:extLst>
            <a:ext uri="{FF2B5EF4-FFF2-40B4-BE49-F238E27FC236}">
              <a16:creationId xmlns:a16="http://schemas.microsoft.com/office/drawing/2014/main" id="{00000000-0008-0000-13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8" name="Imagen 9">
          <a:extLst>
            <a:ext uri="{FF2B5EF4-FFF2-40B4-BE49-F238E27FC236}">
              <a16:creationId xmlns:a16="http://schemas.microsoft.com/office/drawing/2014/main" id="{00000000-0008-0000-13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9" name="Imagen 9">
          <a:extLst>
            <a:ext uri="{FF2B5EF4-FFF2-40B4-BE49-F238E27FC236}">
              <a16:creationId xmlns:a16="http://schemas.microsoft.com/office/drawing/2014/main" id="{00000000-0008-0000-13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0" name="Imagen 9">
          <a:extLst>
            <a:ext uri="{FF2B5EF4-FFF2-40B4-BE49-F238E27FC236}">
              <a16:creationId xmlns:a16="http://schemas.microsoft.com/office/drawing/2014/main" id="{00000000-0008-0000-13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1" name="Imagen 9">
          <a:extLst>
            <a:ext uri="{FF2B5EF4-FFF2-40B4-BE49-F238E27FC236}">
              <a16:creationId xmlns:a16="http://schemas.microsoft.com/office/drawing/2014/main" id="{00000000-0008-0000-13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2" name="Imagen 9">
          <a:extLst>
            <a:ext uri="{FF2B5EF4-FFF2-40B4-BE49-F238E27FC236}">
              <a16:creationId xmlns:a16="http://schemas.microsoft.com/office/drawing/2014/main" id="{00000000-0008-0000-13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3" name="Imagen 9">
          <a:extLst>
            <a:ext uri="{FF2B5EF4-FFF2-40B4-BE49-F238E27FC236}">
              <a16:creationId xmlns:a16="http://schemas.microsoft.com/office/drawing/2014/main" id="{00000000-0008-0000-13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4" name="Imagen 9">
          <a:extLst>
            <a:ext uri="{FF2B5EF4-FFF2-40B4-BE49-F238E27FC236}">
              <a16:creationId xmlns:a16="http://schemas.microsoft.com/office/drawing/2014/main" id="{00000000-0008-0000-13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5" name="Imagen 9">
          <a:extLst>
            <a:ext uri="{FF2B5EF4-FFF2-40B4-BE49-F238E27FC236}">
              <a16:creationId xmlns:a16="http://schemas.microsoft.com/office/drawing/2014/main" id="{00000000-0008-0000-13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6" name="Imagen 9">
          <a:extLst>
            <a:ext uri="{FF2B5EF4-FFF2-40B4-BE49-F238E27FC236}">
              <a16:creationId xmlns:a16="http://schemas.microsoft.com/office/drawing/2014/main" id="{00000000-0008-0000-13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7" name="Imagen 9">
          <a:extLst>
            <a:ext uri="{FF2B5EF4-FFF2-40B4-BE49-F238E27FC236}">
              <a16:creationId xmlns:a16="http://schemas.microsoft.com/office/drawing/2014/main" id="{00000000-0008-0000-13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8" name="Imagen 9">
          <a:extLst>
            <a:ext uri="{FF2B5EF4-FFF2-40B4-BE49-F238E27FC236}">
              <a16:creationId xmlns:a16="http://schemas.microsoft.com/office/drawing/2014/main" id="{00000000-0008-0000-13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9" name="Imagen 9">
          <a:extLst>
            <a:ext uri="{FF2B5EF4-FFF2-40B4-BE49-F238E27FC236}">
              <a16:creationId xmlns:a16="http://schemas.microsoft.com/office/drawing/2014/main" id="{00000000-0008-0000-13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0" name="Imagen 9">
          <a:extLst>
            <a:ext uri="{FF2B5EF4-FFF2-40B4-BE49-F238E27FC236}">
              <a16:creationId xmlns:a16="http://schemas.microsoft.com/office/drawing/2014/main" id="{00000000-0008-0000-13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1" name="Imagen 9">
          <a:extLst>
            <a:ext uri="{FF2B5EF4-FFF2-40B4-BE49-F238E27FC236}">
              <a16:creationId xmlns:a16="http://schemas.microsoft.com/office/drawing/2014/main" id="{00000000-0008-0000-13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2" name="Imagen 9">
          <a:extLst>
            <a:ext uri="{FF2B5EF4-FFF2-40B4-BE49-F238E27FC236}">
              <a16:creationId xmlns:a16="http://schemas.microsoft.com/office/drawing/2014/main" id="{00000000-0008-0000-13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3" name="Imagen 9">
          <a:extLst>
            <a:ext uri="{FF2B5EF4-FFF2-40B4-BE49-F238E27FC236}">
              <a16:creationId xmlns:a16="http://schemas.microsoft.com/office/drawing/2014/main" id="{00000000-0008-0000-13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14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14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14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00000000-0008-0000-14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00000000-0008-0000-14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00000000-0008-0000-14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00000000-0008-0000-14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00000000-0008-0000-14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00000000-0008-0000-14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00000000-0008-0000-14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00000000-0008-0000-14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00000000-0008-0000-14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00000000-0008-0000-14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00000000-0008-0000-14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0" name="Imagen 9">
          <a:extLst>
            <a:ext uri="{FF2B5EF4-FFF2-40B4-BE49-F238E27FC236}">
              <a16:creationId xmlns:a16="http://schemas.microsoft.com/office/drawing/2014/main" id="{00000000-0008-0000-14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1" name="Imagen 9">
          <a:extLst>
            <a:ext uri="{FF2B5EF4-FFF2-40B4-BE49-F238E27FC236}">
              <a16:creationId xmlns:a16="http://schemas.microsoft.com/office/drawing/2014/main" id="{00000000-0008-0000-14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2" name="Imagen 9">
          <a:extLst>
            <a:ext uri="{FF2B5EF4-FFF2-40B4-BE49-F238E27FC236}">
              <a16:creationId xmlns:a16="http://schemas.microsoft.com/office/drawing/2014/main" id="{00000000-0008-0000-14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3" name="Imagen 9">
          <a:extLst>
            <a:ext uri="{FF2B5EF4-FFF2-40B4-BE49-F238E27FC236}">
              <a16:creationId xmlns:a16="http://schemas.microsoft.com/office/drawing/2014/main" id="{00000000-0008-0000-14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4" name="Imagen 9">
          <a:extLst>
            <a:ext uri="{FF2B5EF4-FFF2-40B4-BE49-F238E27FC236}">
              <a16:creationId xmlns:a16="http://schemas.microsoft.com/office/drawing/2014/main" id="{00000000-0008-0000-14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5" name="Imagen 9">
          <a:extLst>
            <a:ext uri="{FF2B5EF4-FFF2-40B4-BE49-F238E27FC236}">
              <a16:creationId xmlns:a16="http://schemas.microsoft.com/office/drawing/2014/main" id="{00000000-0008-0000-14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6" name="Imagen 9">
          <a:extLst>
            <a:ext uri="{FF2B5EF4-FFF2-40B4-BE49-F238E27FC236}">
              <a16:creationId xmlns:a16="http://schemas.microsoft.com/office/drawing/2014/main" id="{00000000-0008-0000-14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00000000-0008-0000-14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8" name="Imagen 9">
          <a:extLst>
            <a:ext uri="{FF2B5EF4-FFF2-40B4-BE49-F238E27FC236}">
              <a16:creationId xmlns:a16="http://schemas.microsoft.com/office/drawing/2014/main" id="{00000000-0008-0000-14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9" name="Imagen 9">
          <a:extLst>
            <a:ext uri="{FF2B5EF4-FFF2-40B4-BE49-F238E27FC236}">
              <a16:creationId xmlns:a16="http://schemas.microsoft.com/office/drawing/2014/main" id="{00000000-0008-0000-14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0" name="Imagen 9">
          <a:extLst>
            <a:ext uri="{FF2B5EF4-FFF2-40B4-BE49-F238E27FC236}">
              <a16:creationId xmlns:a16="http://schemas.microsoft.com/office/drawing/2014/main" id="{00000000-0008-0000-14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1" name="Imagen 9">
          <a:extLst>
            <a:ext uri="{FF2B5EF4-FFF2-40B4-BE49-F238E27FC236}">
              <a16:creationId xmlns:a16="http://schemas.microsoft.com/office/drawing/2014/main" id="{00000000-0008-0000-14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2" name="Imagen 9">
          <a:extLst>
            <a:ext uri="{FF2B5EF4-FFF2-40B4-BE49-F238E27FC236}">
              <a16:creationId xmlns:a16="http://schemas.microsoft.com/office/drawing/2014/main" id="{00000000-0008-0000-14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3" name="Imagen 9">
          <a:extLst>
            <a:ext uri="{FF2B5EF4-FFF2-40B4-BE49-F238E27FC236}">
              <a16:creationId xmlns:a16="http://schemas.microsoft.com/office/drawing/2014/main" id="{00000000-0008-0000-14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4" name="Imagen 9">
          <a:extLst>
            <a:ext uri="{FF2B5EF4-FFF2-40B4-BE49-F238E27FC236}">
              <a16:creationId xmlns:a16="http://schemas.microsoft.com/office/drawing/2014/main" id="{00000000-0008-0000-14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5" name="Imagen 9">
          <a:extLst>
            <a:ext uri="{FF2B5EF4-FFF2-40B4-BE49-F238E27FC236}">
              <a16:creationId xmlns:a16="http://schemas.microsoft.com/office/drawing/2014/main" id="{00000000-0008-0000-14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6" name="Imagen 9">
          <a:extLst>
            <a:ext uri="{FF2B5EF4-FFF2-40B4-BE49-F238E27FC236}">
              <a16:creationId xmlns:a16="http://schemas.microsoft.com/office/drawing/2014/main" id="{00000000-0008-0000-14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7" name="Imagen 9">
          <a:extLst>
            <a:ext uri="{FF2B5EF4-FFF2-40B4-BE49-F238E27FC236}">
              <a16:creationId xmlns:a16="http://schemas.microsoft.com/office/drawing/2014/main" id="{00000000-0008-0000-14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8" name="Imagen 9">
          <a:extLst>
            <a:ext uri="{FF2B5EF4-FFF2-40B4-BE49-F238E27FC236}">
              <a16:creationId xmlns:a16="http://schemas.microsoft.com/office/drawing/2014/main" id="{00000000-0008-0000-14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9" name="Imagen 9">
          <a:extLst>
            <a:ext uri="{FF2B5EF4-FFF2-40B4-BE49-F238E27FC236}">
              <a16:creationId xmlns:a16="http://schemas.microsoft.com/office/drawing/2014/main" id="{00000000-0008-0000-14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0" name="Imagen 9">
          <a:extLst>
            <a:ext uri="{FF2B5EF4-FFF2-40B4-BE49-F238E27FC236}">
              <a16:creationId xmlns:a16="http://schemas.microsoft.com/office/drawing/2014/main" id="{00000000-0008-0000-14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1" name="Imagen 9">
          <a:extLst>
            <a:ext uri="{FF2B5EF4-FFF2-40B4-BE49-F238E27FC236}">
              <a16:creationId xmlns:a16="http://schemas.microsoft.com/office/drawing/2014/main" id="{00000000-0008-0000-14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2" name="Imagen 9">
          <a:extLst>
            <a:ext uri="{FF2B5EF4-FFF2-40B4-BE49-F238E27FC236}">
              <a16:creationId xmlns:a16="http://schemas.microsoft.com/office/drawing/2014/main" id="{00000000-0008-0000-14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3" name="Imagen 9">
          <a:extLst>
            <a:ext uri="{FF2B5EF4-FFF2-40B4-BE49-F238E27FC236}">
              <a16:creationId xmlns:a16="http://schemas.microsoft.com/office/drawing/2014/main" id="{00000000-0008-0000-14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4" name="Imagen 9">
          <a:extLst>
            <a:ext uri="{FF2B5EF4-FFF2-40B4-BE49-F238E27FC236}">
              <a16:creationId xmlns:a16="http://schemas.microsoft.com/office/drawing/2014/main" id="{00000000-0008-0000-14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5" name="Imagen 9">
          <a:extLst>
            <a:ext uri="{FF2B5EF4-FFF2-40B4-BE49-F238E27FC236}">
              <a16:creationId xmlns:a16="http://schemas.microsoft.com/office/drawing/2014/main" id="{00000000-0008-0000-14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6" name="Imagen 9">
          <a:extLst>
            <a:ext uri="{FF2B5EF4-FFF2-40B4-BE49-F238E27FC236}">
              <a16:creationId xmlns:a16="http://schemas.microsoft.com/office/drawing/2014/main" id="{00000000-0008-0000-14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7" name="Imagen 9">
          <a:extLst>
            <a:ext uri="{FF2B5EF4-FFF2-40B4-BE49-F238E27FC236}">
              <a16:creationId xmlns:a16="http://schemas.microsoft.com/office/drawing/2014/main" id="{00000000-0008-0000-14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8" name="Imagen 9">
          <a:extLst>
            <a:ext uri="{FF2B5EF4-FFF2-40B4-BE49-F238E27FC236}">
              <a16:creationId xmlns:a16="http://schemas.microsoft.com/office/drawing/2014/main" id="{00000000-0008-0000-14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9" name="Imagen 9">
          <a:extLst>
            <a:ext uri="{FF2B5EF4-FFF2-40B4-BE49-F238E27FC236}">
              <a16:creationId xmlns:a16="http://schemas.microsoft.com/office/drawing/2014/main" id="{00000000-0008-0000-14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0" name="Imagen 9">
          <a:extLst>
            <a:ext uri="{FF2B5EF4-FFF2-40B4-BE49-F238E27FC236}">
              <a16:creationId xmlns:a16="http://schemas.microsoft.com/office/drawing/2014/main" id="{00000000-0008-0000-14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1" name="Imagen 9">
          <a:extLst>
            <a:ext uri="{FF2B5EF4-FFF2-40B4-BE49-F238E27FC236}">
              <a16:creationId xmlns:a16="http://schemas.microsoft.com/office/drawing/2014/main" id="{00000000-0008-0000-14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2" name="Imagen 9">
          <a:extLst>
            <a:ext uri="{FF2B5EF4-FFF2-40B4-BE49-F238E27FC236}">
              <a16:creationId xmlns:a16="http://schemas.microsoft.com/office/drawing/2014/main" id="{00000000-0008-0000-14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3" name="Imagen 9">
          <a:extLst>
            <a:ext uri="{FF2B5EF4-FFF2-40B4-BE49-F238E27FC236}">
              <a16:creationId xmlns:a16="http://schemas.microsoft.com/office/drawing/2014/main" id="{00000000-0008-0000-14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4" name="Imagen 9">
          <a:extLst>
            <a:ext uri="{FF2B5EF4-FFF2-40B4-BE49-F238E27FC236}">
              <a16:creationId xmlns:a16="http://schemas.microsoft.com/office/drawing/2014/main" id="{00000000-0008-0000-14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5" name="Imagen 9">
          <a:extLst>
            <a:ext uri="{FF2B5EF4-FFF2-40B4-BE49-F238E27FC236}">
              <a16:creationId xmlns:a16="http://schemas.microsoft.com/office/drawing/2014/main" id="{00000000-0008-0000-14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6" name="Imagen 9">
          <a:extLst>
            <a:ext uri="{FF2B5EF4-FFF2-40B4-BE49-F238E27FC236}">
              <a16:creationId xmlns:a16="http://schemas.microsoft.com/office/drawing/2014/main" id="{00000000-0008-0000-14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7" name="Imagen 9">
          <a:extLst>
            <a:ext uri="{FF2B5EF4-FFF2-40B4-BE49-F238E27FC236}">
              <a16:creationId xmlns:a16="http://schemas.microsoft.com/office/drawing/2014/main" id="{00000000-0008-0000-14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8" name="Imagen 9">
          <a:extLst>
            <a:ext uri="{FF2B5EF4-FFF2-40B4-BE49-F238E27FC236}">
              <a16:creationId xmlns:a16="http://schemas.microsoft.com/office/drawing/2014/main" id="{00000000-0008-0000-14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9" name="Imagen 9">
          <a:extLst>
            <a:ext uri="{FF2B5EF4-FFF2-40B4-BE49-F238E27FC236}">
              <a16:creationId xmlns:a16="http://schemas.microsoft.com/office/drawing/2014/main" id="{00000000-0008-0000-14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0" name="Imagen 9">
          <a:extLst>
            <a:ext uri="{FF2B5EF4-FFF2-40B4-BE49-F238E27FC236}">
              <a16:creationId xmlns:a16="http://schemas.microsoft.com/office/drawing/2014/main" id="{00000000-0008-0000-14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1" name="Imagen 9">
          <a:extLst>
            <a:ext uri="{FF2B5EF4-FFF2-40B4-BE49-F238E27FC236}">
              <a16:creationId xmlns:a16="http://schemas.microsoft.com/office/drawing/2014/main" id="{00000000-0008-0000-14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2" name="Imagen 9">
          <a:extLst>
            <a:ext uri="{FF2B5EF4-FFF2-40B4-BE49-F238E27FC236}">
              <a16:creationId xmlns:a16="http://schemas.microsoft.com/office/drawing/2014/main" id="{00000000-0008-0000-14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3" name="Imagen 9">
          <a:extLst>
            <a:ext uri="{FF2B5EF4-FFF2-40B4-BE49-F238E27FC236}">
              <a16:creationId xmlns:a16="http://schemas.microsoft.com/office/drawing/2014/main" id="{00000000-0008-0000-14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4" name="Imagen 9">
          <a:extLst>
            <a:ext uri="{FF2B5EF4-FFF2-40B4-BE49-F238E27FC236}">
              <a16:creationId xmlns:a16="http://schemas.microsoft.com/office/drawing/2014/main" id="{00000000-0008-0000-14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5" name="Imagen 9">
          <a:extLst>
            <a:ext uri="{FF2B5EF4-FFF2-40B4-BE49-F238E27FC236}">
              <a16:creationId xmlns:a16="http://schemas.microsoft.com/office/drawing/2014/main" id="{00000000-0008-0000-14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6" name="Imagen 9">
          <a:extLst>
            <a:ext uri="{FF2B5EF4-FFF2-40B4-BE49-F238E27FC236}">
              <a16:creationId xmlns:a16="http://schemas.microsoft.com/office/drawing/2014/main" id="{00000000-0008-0000-14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7" name="Imagen 9">
          <a:extLst>
            <a:ext uri="{FF2B5EF4-FFF2-40B4-BE49-F238E27FC236}">
              <a16:creationId xmlns:a16="http://schemas.microsoft.com/office/drawing/2014/main" id="{00000000-0008-0000-14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8" name="Imagen 9">
          <a:extLst>
            <a:ext uri="{FF2B5EF4-FFF2-40B4-BE49-F238E27FC236}">
              <a16:creationId xmlns:a16="http://schemas.microsoft.com/office/drawing/2014/main" id="{00000000-0008-0000-14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9" name="Imagen 9">
          <a:extLst>
            <a:ext uri="{FF2B5EF4-FFF2-40B4-BE49-F238E27FC236}">
              <a16:creationId xmlns:a16="http://schemas.microsoft.com/office/drawing/2014/main" id="{00000000-0008-0000-14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0" name="Imagen 9">
          <a:extLst>
            <a:ext uri="{FF2B5EF4-FFF2-40B4-BE49-F238E27FC236}">
              <a16:creationId xmlns:a16="http://schemas.microsoft.com/office/drawing/2014/main" id="{00000000-0008-0000-14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1" name="Imagen 9">
          <a:extLst>
            <a:ext uri="{FF2B5EF4-FFF2-40B4-BE49-F238E27FC236}">
              <a16:creationId xmlns:a16="http://schemas.microsoft.com/office/drawing/2014/main" id="{00000000-0008-0000-14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2" name="Imagen 9">
          <a:extLst>
            <a:ext uri="{FF2B5EF4-FFF2-40B4-BE49-F238E27FC236}">
              <a16:creationId xmlns:a16="http://schemas.microsoft.com/office/drawing/2014/main" id="{00000000-0008-0000-14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3" name="Imagen 9">
          <a:extLst>
            <a:ext uri="{FF2B5EF4-FFF2-40B4-BE49-F238E27FC236}">
              <a16:creationId xmlns:a16="http://schemas.microsoft.com/office/drawing/2014/main" id="{00000000-0008-0000-14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3B72825B-3236-444B-98AC-F79767F41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B3C2E6E2-035C-484D-BF08-8879FE1A6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5457D468-55A5-429F-A814-4A9A277F2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30B972F5-79E7-403E-AF9A-78A82C51C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F3793BBB-B4FA-414C-BD50-3FAEC45A0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D7F045B0-6BF3-4DE0-894C-9C42F2FF4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7C362F22-159B-4FA4-85BF-5E04D4E02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FA521846-EF9E-4133-ADCE-F70D076A3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7C59D7E-7509-4D22-AEDB-37A7B41E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CD1F474F-4D0C-4959-8EBC-3FF4B7055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9C0F4F77-0FCD-4B33-8548-963FB99BB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CFBEFF6D-00CD-44A7-B8F5-027885799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9F165B71-32B1-4EAF-BE30-7F70A6EF3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3B6D06B0-4CED-43DE-BEC4-123C58177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89E1A34C-807B-4854-8638-93B0EC908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BC22784-2C81-4A2B-9E2F-6C799D207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930F779-FA55-4339-87F9-2AFDA92EB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6F859316-8EC1-42BB-938A-E33668ABE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11EC854F-F10D-4278-A037-C98DA2B6D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9099B038-0176-4FEE-B251-9A56F33CA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28A7D79E-1DDE-4A6F-A4AC-9B88CF7AE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21A5EDDD-A78B-40AD-A460-6CD5EA3A8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78B820E4-EF10-4637-A745-0B6DD39DF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282AC5E9-4AF1-47B8-B087-E1CC648FA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84AD6791-572D-4461-8156-84A3B9E8D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A8578364-E781-4B10-BB1A-4F7334A8E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9F354FF1-1639-4560-B1D1-9AA0D87E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497F6800-EF18-4BAB-B34F-B9388F6A8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1B5D4DAA-3C55-48B0-BAD7-E8992F124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3EC8FD83-9CFF-4A4F-ABC0-63B3C83B0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E1388D81-4460-4D61-9A89-36E70BD24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CA739E51-3895-4548-B57A-A206538AF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8E1C250F-F035-4A95-B332-EF3FC2BAD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2A03E3E7-2D24-4516-8740-C401BD2D7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3E971D9F-C3BB-4267-8772-14425A0ED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7DA256DF-379F-49CC-BFD7-0F3A5B383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1823DAA-E011-44A1-A325-1AC702999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799D32F1-296B-4822-ADF8-531C8D84C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1C4650DF-C829-4214-8FFA-91325069C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FC0E90DA-7C35-41E8-86D0-C2D3239BD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E616AA36-593A-478C-AD66-294C50215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9806C67B-5B02-452B-BA9B-1D36C0EFA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7131FC19-C9EB-4BC2-84E3-25EF1781F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F33FB739-5880-4DB1-BD57-8204666A8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146C1B85-42E5-4916-9FB2-DA5131EDD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44C03231-2A21-4C6C-9703-EB16C3003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86DBC2CD-F6EB-4B79-8813-2D6569BF1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E32F780F-55C5-4239-B1AF-5CBE6731C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156F1A76-BE92-468F-B5E2-AB0F4A0C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CCBE426D-5D93-4595-853A-96E2D6C90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6AF17992-5FBD-46A8-BDC9-0E8F574E4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9584A4F2-EF9C-4F4A-830A-F10448083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4A22CE5E-43C8-4AD3-92AE-58387F4BA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F6EB1C2E-987B-4903-AF86-262EC55C2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F3F32AD7-B982-4116-B748-8D4A6F868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E6A4A1C5-765C-49DD-8174-20E60E803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F24F56EF-5087-4BCD-B48A-A788434E6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C256FCA0-BB9B-4784-9C2B-29B32B621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6B75416B-77EA-41C6-A54B-C82B07878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8761A732-0E7D-461D-B8C1-6472678EF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F1C3D4B7-D9D5-4C2F-8B30-AD7BCB17B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FAD91364-A7C8-4B0C-8A3F-6BD9EC0BF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2A77768F-BED8-4AD4-8CE6-912347A6B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2B339C28-518B-4B1C-896E-937CBBE17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26710CE1-D52B-4AFF-8C8C-64C2AD4CD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64EAAE5C-30CE-488D-ACE9-6C8D58403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A2060CBB-AA5B-44D4-A9A2-40BD4AE15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6FC26080-8796-450B-B9DC-8494479C0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0" name="Imagen 9">
          <a:extLst>
            <a:ext uri="{FF2B5EF4-FFF2-40B4-BE49-F238E27FC236}">
              <a16:creationId xmlns:a16="http://schemas.microsoft.com/office/drawing/2014/main" id="{55F350E1-6EE5-43EA-AB9E-4D367A47F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1" name="Imagen 9">
          <a:extLst>
            <a:ext uri="{FF2B5EF4-FFF2-40B4-BE49-F238E27FC236}">
              <a16:creationId xmlns:a16="http://schemas.microsoft.com/office/drawing/2014/main" id="{2E9FCF7A-CA15-4BAE-BA60-F64A731E2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2" name="Imagen 9">
          <a:extLst>
            <a:ext uri="{FF2B5EF4-FFF2-40B4-BE49-F238E27FC236}">
              <a16:creationId xmlns:a16="http://schemas.microsoft.com/office/drawing/2014/main" id="{356816DC-660C-43E0-A0BF-80E7CC3D5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3" name="Imagen 9">
          <a:extLst>
            <a:ext uri="{FF2B5EF4-FFF2-40B4-BE49-F238E27FC236}">
              <a16:creationId xmlns:a16="http://schemas.microsoft.com/office/drawing/2014/main" id="{25D2E1B8-054F-4D8C-B67E-6A48311BB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4" name="Imagen 9">
          <a:extLst>
            <a:ext uri="{FF2B5EF4-FFF2-40B4-BE49-F238E27FC236}">
              <a16:creationId xmlns:a16="http://schemas.microsoft.com/office/drawing/2014/main" id="{1DCFF836-56B1-40B2-8E76-382C32077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5" name="Imagen 9">
          <a:extLst>
            <a:ext uri="{FF2B5EF4-FFF2-40B4-BE49-F238E27FC236}">
              <a16:creationId xmlns:a16="http://schemas.microsoft.com/office/drawing/2014/main" id="{3179C72D-41A8-4F1F-A30C-9BB0B4FDE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6" name="Imagen 9">
          <a:extLst>
            <a:ext uri="{FF2B5EF4-FFF2-40B4-BE49-F238E27FC236}">
              <a16:creationId xmlns:a16="http://schemas.microsoft.com/office/drawing/2014/main" id="{D1D88408-89CD-4F3C-9C0A-1CF689D4A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B8C08234-50A6-473B-AD59-8557B196E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8" name="Imagen 9">
          <a:extLst>
            <a:ext uri="{FF2B5EF4-FFF2-40B4-BE49-F238E27FC236}">
              <a16:creationId xmlns:a16="http://schemas.microsoft.com/office/drawing/2014/main" id="{F1A17848-F8CD-437F-BF8A-8D975E089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9" name="Imagen 9">
          <a:extLst>
            <a:ext uri="{FF2B5EF4-FFF2-40B4-BE49-F238E27FC236}">
              <a16:creationId xmlns:a16="http://schemas.microsoft.com/office/drawing/2014/main" id="{0184F611-CFDA-42ED-B1BE-6E8EC0AC7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0" name="Imagen 9">
          <a:extLst>
            <a:ext uri="{FF2B5EF4-FFF2-40B4-BE49-F238E27FC236}">
              <a16:creationId xmlns:a16="http://schemas.microsoft.com/office/drawing/2014/main" id="{091BDB48-302B-4EBE-9EAB-F740CF028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1" name="Imagen 9">
          <a:extLst>
            <a:ext uri="{FF2B5EF4-FFF2-40B4-BE49-F238E27FC236}">
              <a16:creationId xmlns:a16="http://schemas.microsoft.com/office/drawing/2014/main" id="{A12005F9-5EA6-4C70-B4D6-A3F44BF5E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2" name="Imagen 9">
          <a:extLst>
            <a:ext uri="{FF2B5EF4-FFF2-40B4-BE49-F238E27FC236}">
              <a16:creationId xmlns:a16="http://schemas.microsoft.com/office/drawing/2014/main" id="{F0DC4277-835F-4638-9740-29F6DF54B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3" name="Imagen 9">
          <a:extLst>
            <a:ext uri="{FF2B5EF4-FFF2-40B4-BE49-F238E27FC236}">
              <a16:creationId xmlns:a16="http://schemas.microsoft.com/office/drawing/2014/main" id="{4D8D9567-ABAD-4EE5-8212-219CDF84F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4" name="Imagen 9">
          <a:extLst>
            <a:ext uri="{FF2B5EF4-FFF2-40B4-BE49-F238E27FC236}">
              <a16:creationId xmlns:a16="http://schemas.microsoft.com/office/drawing/2014/main" id="{21A48D22-DF89-4AA3-BBE1-2C496EB0F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5" name="Imagen 9">
          <a:extLst>
            <a:ext uri="{FF2B5EF4-FFF2-40B4-BE49-F238E27FC236}">
              <a16:creationId xmlns:a16="http://schemas.microsoft.com/office/drawing/2014/main" id="{D1D784EE-55C1-4B22-8ADD-394543B72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6" name="Imagen 9">
          <a:extLst>
            <a:ext uri="{FF2B5EF4-FFF2-40B4-BE49-F238E27FC236}">
              <a16:creationId xmlns:a16="http://schemas.microsoft.com/office/drawing/2014/main" id="{B7B538BC-DC47-4AB7-973A-FEB5CD289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7" name="Imagen 9">
          <a:extLst>
            <a:ext uri="{FF2B5EF4-FFF2-40B4-BE49-F238E27FC236}">
              <a16:creationId xmlns:a16="http://schemas.microsoft.com/office/drawing/2014/main" id="{02745769-8D9C-4145-BD96-CF5591047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8" name="Imagen 9">
          <a:extLst>
            <a:ext uri="{FF2B5EF4-FFF2-40B4-BE49-F238E27FC236}">
              <a16:creationId xmlns:a16="http://schemas.microsoft.com/office/drawing/2014/main" id="{823FFB1B-2088-4369-8D18-B68C5E704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9" name="Imagen 9">
          <a:extLst>
            <a:ext uri="{FF2B5EF4-FFF2-40B4-BE49-F238E27FC236}">
              <a16:creationId xmlns:a16="http://schemas.microsoft.com/office/drawing/2014/main" id="{6F793294-90D9-487B-9001-89EACA9D6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0" name="Imagen 9">
          <a:extLst>
            <a:ext uri="{FF2B5EF4-FFF2-40B4-BE49-F238E27FC236}">
              <a16:creationId xmlns:a16="http://schemas.microsoft.com/office/drawing/2014/main" id="{B627B838-CBBA-468F-95B3-F9CA244AB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1" name="Imagen 9">
          <a:extLst>
            <a:ext uri="{FF2B5EF4-FFF2-40B4-BE49-F238E27FC236}">
              <a16:creationId xmlns:a16="http://schemas.microsoft.com/office/drawing/2014/main" id="{F59E49D9-5C77-4F5C-88B3-6C364E074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2" name="Imagen 9">
          <a:extLst>
            <a:ext uri="{FF2B5EF4-FFF2-40B4-BE49-F238E27FC236}">
              <a16:creationId xmlns:a16="http://schemas.microsoft.com/office/drawing/2014/main" id="{B8A027B5-972A-4C11-BFEE-E94965EBD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3" name="Imagen 9">
          <a:extLst>
            <a:ext uri="{FF2B5EF4-FFF2-40B4-BE49-F238E27FC236}">
              <a16:creationId xmlns:a16="http://schemas.microsoft.com/office/drawing/2014/main" id="{BF8ED728-B161-413A-A24A-79EB9BC71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4" name="Imagen 9">
          <a:extLst>
            <a:ext uri="{FF2B5EF4-FFF2-40B4-BE49-F238E27FC236}">
              <a16:creationId xmlns:a16="http://schemas.microsoft.com/office/drawing/2014/main" id="{89478939-C64F-4F91-B43F-424F7D361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5" name="Imagen 9">
          <a:extLst>
            <a:ext uri="{FF2B5EF4-FFF2-40B4-BE49-F238E27FC236}">
              <a16:creationId xmlns:a16="http://schemas.microsoft.com/office/drawing/2014/main" id="{CE6DAD16-D2D1-4BCA-A273-E0A3F9168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6" name="Imagen 9">
          <a:extLst>
            <a:ext uri="{FF2B5EF4-FFF2-40B4-BE49-F238E27FC236}">
              <a16:creationId xmlns:a16="http://schemas.microsoft.com/office/drawing/2014/main" id="{8F6E40F5-DF79-4409-AD5C-012160751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7" name="Imagen 9">
          <a:extLst>
            <a:ext uri="{FF2B5EF4-FFF2-40B4-BE49-F238E27FC236}">
              <a16:creationId xmlns:a16="http://schemas.microsoft.com/office/drawing/2014/main" id="{FEE8755F-C4D3-428F-9DF6-3D4611D82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8" name="Imagen 9">
          <a:extLst>
            <a:ext uri="{FF2B5EF4-FFF2-40B4-BE49-F238E27FC236}">
              <a16:creationId xmlns:a16="http://schemas.microsoft.com/office/drawing/2014/main" id="{E7187636-AECE-442D-A193-ED30A810D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9" name="Imagen 9">
          <a:extLst>
            <a:ext uri="{FF2B5EF4-FFF2-40B4-BE49-F238E27FC236}">
              <a16:creationId xmlns:a16="http://schemas.microsoft.com/office/drawing/2014/main" id="{3D363A7F-602C-4D3B-9C35-830DAE6E4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0" name="Imagen 9">
          <a:extLst>
            <a:ext uri="{FF2B5EF4-FFF2-40B4-BE49-F238E27FC236}">
              <a16:creationId xmlns:a16="http://schemas.microsoft.com/office/drawing/2014/main" id="{0FE2F206-284E-469D-9142-ABE0C79BC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1" name="Imagen 9">
          <a:extLst>
            <a:ext uri="{FF2B5EF4-FFF2-40B4-BE49-F238E27FC236}">
              <a16:creationId xmlns:a16="http://schemas.microsoft.com/office/drawing/2014/main" id="{4978570C-2600-425E-B202-08C54CD52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2" name="Imagen 9">
          <a:extLst>
            <a:ext uri="{FF2B5EF4-FFF2-40B4-BE49-F238E27FC236}">
              <a16:creationId xmlns:a16="http://schemas.microsoft.com/office/drawing/2014/main" id="{1DB87146-476C-4C72-97D3-15F8D1100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3" name="Imagen 9">
          <a:extLst>
            <a:ext uri="{FF2B5EF4-FFF2-40B4-BE49-F238E27FC236}">
              <a16:creationId xmlns:a16="http://schemas.microsoft.com/office/drawing/2014/main" id="{81880019-F583-4B5A-B619-A7EDB95FF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4" name="Imagen 9">
          <a:extLst>
            <a:ext uri="{FF2B5EF4-FFF2-40B4-BE49-F238E27FC236}">
              <a16:creationId xmlns:a16="http://schemas.microsoft.com/office/drawing/2014/main" id="{DAEDDF50-9C50-4AF1-ABF7-1A135419D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5" name="Imagen 9">
          <a:extLst>
            <a:ext uri="{FF2B5EF4-FFF2-40B4-BE49-F238E27FC236}">
              <a16:creationId xmlns:a16="http://schemas.microsoft.com/office/drawing/2014/main" id="{5165B658-48D1-494C-A874-C590E301E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6" name="Imagen 9">
          <a:extLst>
            <a:ext uri="{FF2B5EF4-FFF2-40B4-BE49-F238E27FC236}">
              <a16:creationId xmlns:a16="http://schemas.microsoft.com/office/drawing/2014/main" id="{CC0B33FE-03B2-4628-866C-BD73E4DB8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7" name="Imagen 9">
          <a:extLst>
            <a:ext uri="{FF2B5EF4-FFF2-40B4-BE49-F238E27FC236}">
              <a16:creationId xmlns:a16="http://schemas.microsoft.com/office/drawing/2014/main" id="{90757CCA-34B4-48B2-B962-97CB68C00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8" name="Imagen 9">
          <a:extLst>
            <a:ext uri="{FF2B5EF4-FFF2-40B4-BE49-F238E27FC236}">
              <a16:creationId xmlns:a16="http://schemas.microsoft.com/office/drawing/2014/main" id="{733E14A2-3CDB-4160-BB7C-27ECFC339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9" name="Imagen 9">
          <a:extLst>
            <a:ext uri="{FF2B5EF4-FFF2-40B4-BE49-F238E27FC236}">
              <a16:creationId xmlns:a16="http://schemas.microsoft.com/office/drawing/2014/main" id="{4DBBA4C8-E2FF-4C71-8E72-C17035FC1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0" name="Imagen 9">
          <a:extLst>
            <a:ext uri="{FF2B5EF4-FFF2-40B4-BE49-F238E27FC236}">
              <a16:creationId xmlns:a16="http://schemas.microsoft.com/office/drawing/2014/main" id="{691C9E1A-3CC4-4882-BA78-E56A2D242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1" name="Imagen 9">
          <a:extLst>
            <a:ext uri="{FF2B5EF4-FFF2-40B4-BE49-F238E27FC236}">
              <a16:creationId xmlns:a16="http://schemas.microsoft.com/office/drawing/2014/main" id="{FB215B4D-C40B-46D2-957A-F20B236A3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2" name="Imagen 9">
          <a:extLst>
            <a:ext uri="{FF2B5EF4-FFF2-40B4-BE49-F238E27FC236}">
              <a16:creationId xmlns:a16="http://schemas.microsoft.com/office/drawing/2014/main" id="{216C89F2-D911-4706-AAA7-F91FECC7D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3" name="Imagen 9">
          <a:extLst>
            <a:ext uri="{FF2B5EF4-FFF2-40B4-BE49-F238E27FC236}">
              <a16:creationId xmlns:a16="http://schemas.microsoft.com/office/drawing/2014/main" id="{26ACB7C0-3B34-4221-9635-C839B8711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4" name="Imagen 9">
          <a:extLst>
            <a:ext uri="{FF2B5EF4-FFF2-40B4-BE49-F238E27FC236}">
              <a16:creationId xmlns:a16="http://schemas.microsoft.com/office/drawing/2014/main" id="{7CD055AD-25E8-492F-841C-D658EC2E4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5" name="Imagen 9">
          <a:extLst>
            <a:ext uri="{FF2B5EF4-FFF2-40B4-BE49-F238E27FC236}">
              <a16:creationId xmlns:a16="http://schemas.microsoft.com/office/drawing/2014/main" id="{EAA4ED7C-054F-4D4D-8D03-726CA9587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6" name="Imagen 9">
          <a:extLst>
            <a:ext uri="{FF2B5EF4-FFF2-40B4-BE49-F238E27FC236}">
              <a16:creationId xmlns:a16="http://schemas.microsoft.com/office/drawing/2014/main" id="{0AE71B4A-652A-42F8-83A8-E804ACC64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7" name="Imagen 9">
          <a:extLst>
            <a:ext uri="{FF2B5EF4-FFF2-40B4-BE49-F238E27FC236}">
              <a16:creationId xmlns:a16="http://schemas.microsoft.com/office/drawing/2014/main" id="{A9C622FA-B762-4590-9CFF-241D0DD2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8" name="Imagen 9">
          <a:extLst>
            <a:ext uri="{FF2B5EF4-FFF2-40B4-BE49-F238E27FC236}">
              <a16:creationId xmlns:a16="http://schemas.microsoft.com/office/drawing/2014/main" id="{EE068019-B6FA-4F43-A2CC-ACDAE2783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9" name="Imagen 9">
          <a:extLst>
            <a:ext uri="{FF2B5EF4-FFF2-40B4-BE49-F238E27FC236}">
              <a16:creationId xmlns:a16="http://schemas.microsoft.com/office/drawing/2014/main" id="{2FC77A49-A175-4F78-937D-21DC56EE1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0" name="Imagen 9">
          <a:extLst>
            <a:ext uri="{FF2B5EF4-FFF2-40B4-BE49-F238E27FC236}">
              <a16:creationId xmlns:a16="http://schemas.microsoft.com/office/drawing/2014/main" id="{84A1AEA7-8AB0-4092-8080-572086362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1" name="Imagen 9">
          <a:extLst>
            <a:ext uri="{FF2B5EF4-FFF2-40B4-BE49-F238E27FC236}">
              <a16:creationId xmlns:a16="http://schemas.microsoft.com/office/drawing/2014/main" id="{1527BE83-324E-4A83-8190-5B476E7AD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2" name="Imagen 9">
          <a:extLst>
            <a:ext uri="{FF2B5EF4-FFF2-40B4-BE49-F238E27FC236}">
              <a16:creationId xmlns:a16="http://schemas.microsoft.com/office/drawing/2014/main" id="{0899D17A-09E4-4C60-9CA7-9ACDD0D22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3" name="Imagen 9">
          <a:extLst>
            <a:ext uri="{FF2B5EF4-FFF2-40B4-BE49-F238E27FC236}">
              <a16:creationId xmlns:a16="http://schemas.microsoft.com/office/drawing/2014/main" id="{6F232C8C-CB5E-4F23-A037-1E49CEDE3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90367"/>
        </a:xfrm>
        <a:prstGeom prst="rect">
          <a:avLst/>
        </a:prstGeom>
        <a:noFill/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FE1E3077-D33E-4393-8AD8-2C1FB7571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CE2253D-D86F-4FBA-B0D7-940090B72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1BBB44E4-AF9A-496E-8ECA-B9379BF48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6A8E31BA-D940-4D7F-9B0C-DF4B4487A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55AE483C-EE90-466B-95A4-D4A562648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DCC7CDBF-AAE5-4A5F-BD93-979058859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72915F87-390E-43B0-B1EA-3BFAE1BAD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CF1A2162-1D2C-4E2A-A1E6-C0258A8EA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666D9D2-32E0-4502-8811-8EA6776AF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BC2CE307-E174-4A6A-A63E-15513ACCF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93AB27CB-463E-4289-A03B-B1EC4D2C6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507E3A64-F198-49AB-89E7-D880464EA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176BA52C-AD00-479B-8795-A494CD657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E6D5C5C7-2409-418E-B3C9-38A67D792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4B4CDAE4-D4B0-4EDC-8D63-D7070D35F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E65E3782-C280-4743-9A3A-054364607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8EF4D3E8-86F1-4121-ABBB-CCF4B2253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E53E829B-F68D-49D7-862A-AA7806ED1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143B79BE-0161-4821-A019-B350DA185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F0AAA71D-65D9-4CEA-85B2-1026B1F65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BD107EA2-A94A-4DBC-8F81-98B6E4D30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AC436B1D-815E-4604-8CCD-4ADEF3321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C59EB57C-2F18-4FE1-BF8A-77B66429F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A452AA9E-25FE-4970-B7C3-C16F81BC4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CD6C8158-C750-4CE5-9DD8-4AA3A70AA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FA2C973A-14F5-471E-B917-9CA80B8C4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C8134A1-C7F4-42EF-905B-1621CB4E5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A014514-0564-4F2C-AD08-24B5CFC26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2A8C1D7B-7E44-4159-868F-AD0460DBD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F10A6E6A-3A0E-425F-B317-789E86E52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42415B48-A34C-480F-A20B-D656FC55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A0C9B3B4-B1C2-4993-A959-776199449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39373475-AF9F-40AC-A6F3-60CC7FA91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23ECE2AE-259F-4E22-9271-3DD397DEC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74D716CE-519E-4809-BBB8-2A64A5D3B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6BD9E8D3-7390-4CC2-9BC5-8174B08EF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F4BB347C-B784-4B98-B9D7-B0C16FE65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EBA29C2F-F0FB-42FB-A8C2-09A8D35CD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8BFD166B-FD71-455B-BE0A-844DF6BAE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D76657FA-5BC4-4593-BD9B-47D3950D9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7C8E9B54-2A47-4990-9A10-12F81983E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C9819FA9-1989-41CB-AA37-9ED08EAED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15441F8B-42EE-4494-B57B-225D60AFF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8FD4E960-7F1B-406E-8559-454E1B1AE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6BCE2F08-DBB5-4ED2-84E9-5D82B86BD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17C97510-D882-449E-A35C-191D35E20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C0C0C82A-0850-41D4-BA0B-022F57714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968B2116-9212-43EB-9F59-3FBD3A5B4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F8A026F0-413E-4946-BDE0-76BA2F293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38F24938-6F8E-4715-9AF1-617BBC982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5BED2ECC-AF38-4D32-A376-5DA4894B1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9E8F1D64-27ED-4459-84E4-62726267D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BF559A03-4B3C-41D9-AA82-F65E0F997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3D7D08D7-DC48-4F40-A82E-81FA07CE9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3A5908A3-91AE-4B45-A0EE-169DEB2C3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8F7E2E6B-E7D4-403A-8A3F-8926B9FED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3D07E8E0-F5FB-4D2E-9F94-3DF41E3BF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90C20110-8A18-4B61-B9CF-0CF9D5754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C2611296-B6F7-4938-83A6-303FD6D56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CB99E84D-2891-476A-ABF8-934EC8517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6FCC3E2F-70B9-4D10-979E-443DCAA51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FAE028B1-938C-42E1-87C9-326224AD7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05EA1F7F-F78C-40E7-9722-3FA34B68C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304E0D30-0724-47A2-9F60-4470897BD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00275C4A-5F70-4325-9BA2-DA19DB274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77F12CA4-5798-402D-9415-80D1D4DC1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ACC1C839-A9A2-4242-B946-31BDFE818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7382E72F-D0D9-4A3D-86AE-6AC9396C1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0" name="Imagen 9">
          <a:extLst>
            <a:ext uri="{FF2B5EF4-FFF2-40B4-BE49-F238E27FC236}">
              <a16:creationId xmlns:a16="http://schemas.microsoft.com/office/drawing/2014/main" id="{4B6D1B16-57BB-4B28-9BC1-692C1B69E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1" name="Imagen 9">
          <a:extLst>
            <a:ext uri="{FF2B5EF4-FFF2-40B4-BE49-F238E27FC236}">
              <a16:creationId xmlns:a16="http://schemas.microsoft.com/office/drawing/2014/main" id="{1C0D2862-7A5A-4886-85E9-EDF791141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2" name="Imagen 9">
          <a:extLst>
            <a:ext uri="{FF2B5EF4-FFF2-40B4-BE49-F238E27FC236}">
              <a16:creationId xmlns:a16="http://schemas.microsoft.com/office/drawing/2014/main" id="{7DBA2B09-AF76-408F-A919-87EB2F951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3" name="Imagen 9">
          <a:extLst>
            <a:ext uri="{FF2B5EF4-FFF2-40B4-BE49-F238E27FC236}">
              <a16:creationId xmlns:a16="http://schemas.microsoft.com/office/drawing/2014/main" id="{23EA0AD4-0B17-406F-9D3F-CF4082D50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4" name="Imagen 9">
          <a:extLst>
            <a:ext uri="{FF2B5EF4-FFF2-40B4-BE49-F238E27FC236}">
              <a16:creationId xmlns:a16="http://schemas.microsoft.com/office/drawing/2014/main" id="{418B75FA-A267-44FA-816A-C18393625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5" name="Imagen 9">
          <a:extLst>
            <a:ext uri="{FF2B5EF4-FFF2-40B4-BE49-F238E27FC236}">
              <a16:creationId xmlns:a16="http://schemas.microsoft.com/office/drawing/2014/main" id="{50B9F47F-F7FC-4931-831D-9EE4302F9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6" name="Imagen 9">
          <a:extLst>
            <a:ext uri="{FF2B5EF4-FFF2-40B4-BE49-F238E27FC236}">
              <a16:creationId xmlns:a16="http://schemas.microsoft.com/office/drawing/2014/main" id="{5E6453AC-009A-4DB7-80D9-A6A598C1C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95917D61-54B9-4109-8FB8-6C584C4AE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8" name="Imagen 9">
          <a:extLst>
            <a:ext uri="{FF2B5EF4-FFF2-40B4-BE49-F238E27FC236}">
              <a16:creationId xmlns:a16="http://schemas.microsoft.com/office/drawing/2014/main" id="{AAF238B0-A702-406C-8A1A-E34AE3F5D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9" name="Imagen 9">
          <a:extLst>
            <a:ext uri="{FF2B5EF4-FFF2-40B4-BE49-F238E27FC236}">
              <a16:creationId xmlns:a16="http://schemas.microsoft.com/office/drawing/2014/main" id="{956168C8-FC6B-4D63-8A39-16026528F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0" name="Imagen 9">
          <a:extLst>
            <a:ext uri="{FF2B5EF4-FFF2-40B4-BE49-F238E27FC236}">
              <a16:creationId xmlns:a16="http://schemas.microsoft.com/office/drawing/2014/main" id="{2DFA0413-37F5-49C2-86B1-6C81A7B2C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1" name="Imagen 9">
          <a:extLst>
            <a:ext uri="{FF2B5EF4-FFF2-40B4-BE49-F238E27FC236}">
              <a16:creationId xmlns:a16="http://schemas.microsoft.com/office/drawing/2014/main" id="{C981E9F9-F279-49AA-92A7-58D205B3F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2" name="Imagen 9">
          <a:extLst>
            <a:ext uri="{FF2B5EF4-FFF2-40B4-BE49-F238E27FC236}">
              <a16:creationId xmlns:a16="http://schemas.microsoft.com/office/drawing/2014/main" id="{D55B2908-49C0-4D94-A5A4-9E991C66F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3" name="Imagen 9">
          <a:extLst>
            <a:ext uri="{FF2B5EF4-FFF2-40B4-BE49-F238E27FC236}">
              <a16:creationId xmlns:a16="http://schemas.microsoft.com/office/drawing/2014/main" id="{81EDDC5F-EBA2-4E0E-BDD0-45A13BF27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4" name="Imagen 9">
          <a:extLst>
            <a:ext uri="{FF2B5EF4-FFF2-40B4-BE49-F238E27FC236}">
              <a16:creationId xmlns:a16="http://schemas.microsoft.com/office/drawing/2014/main" id="{508A4C9D-BB8B-49DF-B346-39F0A6336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5" name="Imagen 9">
          <a:extLst>
            <a:ext uri="{FF2B5EF4-FFF2-40B4-BE49-F238E27FC236}">
              <a16:creationId xmlns:a16="http://schemas.microsoft.com/office/drawing/2014/main" id="{FC156648-4547-4DE0-8474-2FFA96E7C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6" name="Imagen 9">
          <a:extLst>
            <a:ext uri="{FF2B5EF4-FFF2-40B4-BE49-F238E27FC236}">
              <a16:creationId xmlns:a16="http://schemas.microsoft.com/office/drawing/2014/main" id="{76950E4B-EE7E-4076-90C6-0E90A2807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7" name="Imagen 9">
          <a:extLst>
            <a:ext uri="{FF2B5EF4-FFF2-40B4-BE49-F238E27FC236}">
              <a16:creationId xmlns:a16="http://schemas.microsoft.com/office/drawing/2014/main" id="{92FD8B50-84B3-4E4E-ADD5-4A255F7E7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8" name="Imagen 9">
          <a:extLst>
            <a:ext uri="{FF2B5EF4-FFF2-40B4-BE49-F238E27FC236}">
              <a16:creationId xmlns:a16="http://schemas.microsoft.com/office/drawing/2014/main" id="{4A4119A4-972F-40B8-A643-2CC5A91D5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9" name="Imagen 9">
          <a:extLst>
            <a:ext uri="{FF2B5EF4-FFF2-40B4-BE49-F238E27FC236}">
              <a16:creationId xmlns:a16="http://schemas.microsoft.com/office/drawing/2014/main" id="{8DA78A09-5CE9-4088-A031-C773C00F8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0" name="Imagen 9">
          <a:extLst>
            <a:ext uri="{FF2B5EF4-FFF2-40B4-BE49-F238E27FC236}">
              <a16:creationId xmlns:a16="http://schemas.microsoft.com/office/drawing/2014/main" id="{F8C820CD-6347-4FAE-9E02-33D23C481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1" name="Imagen 9">
          <a:extLst>
            <a:ext uri="{FF2B5EF4-FFF2-40B4-BE49-F238E27FC236}">
              <a16:creationId xmlns:a16="http://schemas.microsoft.com/office/drawing/2014/main" id="{ED31DF8A-E20B-4336-A320-748EE7321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2" name="Imagen 9">
          <a:extLst>
            <a:ext uri="{FF2B5EF4-FFF2-40B4-BE49-F238E27FC236}">
              <a16:creationId xmlns:a16="http://schemas.microsoft.com/office/drawing/2014/main" id="{328BA15E-46A3-4DC8-85CF-470ABB74D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3" name="Imagen 9">
          <a:extLst>
            <a:ext uri="{FF2B5EF4-FFF2-40B4-BE49-F238E27FC236}">
              <a16:creationId xmlns:a16="http://schemas.microsoft.com/office/drawing/2014/main" id="{9E79C43D-0A65-4532-9C2A-6266AC5E7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4" name="Imagen 9">
          <a:extLst>
            <a:ext uri="{FF2B5EF4-FFF2-40B4-BE49-F238E27FC236}">
              <a16:creationId xmlns:a16="http://schemas.microsoft.com/office/drawing/2014/main" id="{62535A97-9FC1-408D-B6E1-5C2C3A907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5" name="Imagen 9">
          <a:extLst>
            <a:ext uri="{FF2B5EF4-FFF2-40B4-BE49-F238E27FC236}">
              <a16:creationId xmlns:a16="http://schemas.microsoft.com/office/drawing/2014/main" id="{61B1E908-BC10-45C8-8CA4-64C779ECF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6" name="Imagen 9">
          <a:extLst>
            <a:ext uri="{FF2B5EF4-FFF2-40B4-BE49-F238E27FC236}">
              <a16:creationId xmlns:a16="http://schemas.microsoft.com/office/drawing/2014/main" id="{C2D569FD-F1FC-4AC1-8354-13765A32E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7" name="Imagen 9">
          <a:extLst>
            <a:ext uri="{FF2B5EF4-FFF2-40B4-BE49-F238E27FC236}">
              <a16:creationId xmlns:a16="http://schemas.microsoft.com/office/drawing/2014/main" id="{304A906E-9A46-4370-9B3E-85911A43E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8" name="Imagen 9">
          <a:extLst>
            <a:ext uri="{FF2B5EF4-FFF2-40B4-BE49-F238E27FC236}">
              <a16:creationId xmlns:a16="http://schemas.microsoft.com/office/drawing/2014/main" id="{24D7247D-D4B8-42F8-A38E-388DB9B09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9" name="Imagen 9">
          <a:extLst>
            <a:ext uri="{FF2B5EF4-FFF2-40B4-BE49-F238E27FC236}">
              <a16:creationId xmlns:a16="http://schemas.microsoft.com/office/drawing/2014/main" id="{8124A802-AFA1-4455-84BA-C76FAE496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0" name="Imagen 9">
          <a:extLst>
            <a:ext uri="{FF2B5EF4-FFF2-40B4-BE49-F238E27FC236}">
              <a16:creationId xmlns:a16="http://schemas.microsoft.com/office/drawing/2014/main" id="{ED3EB351-C9EF-4EA7-97A1-E3CCDB00A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1" name="Imagen 9">
          <a:extLst>
            <a:ext uri="{FF2B5EF4-FFF2-40B4-BE49-F238E27FC236}">
              <a16:creationId xmlns:a16="http://schemas.microsoft.com/office/drawing/2014/main" id="{C4856145-0342-470A-8A0A-EF4A036BF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2" name="Imagen 9">
          <a:extLst>
            <a:ext uri="{FF2B5EF4-FFF2-40B4-BE49-F238E27FC236}">
              <a16:creationId xmlns:a16="http://schemas.microsoft.com/office/drawing/2014/main" id="{473C6BCA-0A8D-4D4E-9709-F76A1A0B8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3" name="Imagen 9">
          <a:extLst>
            <a:ext uri="{FF2B5EF4-FFF2-40B4-BE49-F238E27FC236}">
              <a16:creationId xmlns:a16="http://schemas.microsoft.com/office/drawing/2014/main" id="{25756D4E-794C-4A87-9E9B-97EF2A2E6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4" name="Imagen 9">
          <a:extLst>
            <a:ext uri="{FF2B5EF4-FFF2-40B4-BE49-F238E27FC236}">
              <a16:creationId xmlns:a16="http://schemas.microsoft.com/office/drawing/2014/main" id="{C62D588B-15B2-4B0D-8534-23345BD38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5" name="Imagen 9">
          <a:extLst>
            <a:ext uri="{FF2B5EF4-FFF2-40B4-BE49-F238E27FC236}">
              <a16:creationId xmlns:a16="http://schemas.microsoft.com/office/drawing/2014/main" id="{F3C537B0-9875-4F19-8AE1-319CC64BE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6" name="Imagen 9">
          <a:extLst>
            <a:ext uri="{FF2B5EF4-FFF2-40B4-BE49-F238E27FC236}">
              <a16:creationId xmlns:a16="http://schemas.microsoft.com/office/drawing/2014/main" id="{574385AF-A701-4024-9BEC-097AABCBC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7" name="Imagen 9">
          <a:extLst>
            <a:ext uri="{FF2B5EF4-FFF2-40B4-BE49-F238E27FC236}">
              <a16:creationId xmlns:a16="http://schemas.microsoft.com/office/drawing/2014/main" id="{D8DA9E2A-777C-4086-9797-18D44ECEF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8" name="Imagen 9">
          <a:extLst>
            <a:ext uri="{FF2B5EF4-FFF2-40B4-BE49-F238E27FC236}">
              <a16:creationId xmlns:a16="http://schemas.microsoft.com/office/drawing/2014/main" id="{E6C3FFFD-BBB9-42BF-AD7E-912374723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9" name="Imagen 9">
          <a:extLst>
            <a:ext uri="{FF2B5EF4-FFF2-40B4-BE49-F238E27FC236}">
              <a16:creationId xmlns:a16="http://schemas.microsoft.com/office/drawing/2014/main" id="{74CC6A42-62AF-426F-A961-31B47E19B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0" name="Imagen 9">
          <a:extLst>
            <a:ext uri="{FF2B5EF4-FFF2-40B4-BE49-F238E27FC236}">
              <a16:creationId xmlns:a16="http://schemas.microsoft.com/office/drawing/2014/main" id="{EF6B7715-4EA2-4861-B2A7-F69D326E1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1" name="Imagen 9">
          <a:extLst>
            <a:ext uri="{FF2B5EF4-FFF2-40B4-BE49-F238E27FC236}">
              <a16:creationId xmlns:a16="http://schemas.microsoft.com/office/drawing/2014/main" id="{D253DE70-291F-4A99-8B84-ECCEB138E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2" name="Imagen 9">
          <a:extLst>
            <a:ext uri="{FF2B5EF4-FFF2-40B4-BE49-F238E27FC236}">
              <a16:creationId xmlns:a16="http://schemas.microsoft.com/office/drawing/2014/main" id="{12C28919-ED25-4495-9192-FCCE802DB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3" name="Imagen 9">
          <a:extLst>
            <a:ext uri="{FF2B5EF4-FFF2-40B4-BE49-F238E27FC236}">
              <a16:creationId xmlns:a16="http://schemas.microsoft.com/office/drawing/2014/main" id="{C4D3C023-B453-4D6A-BAAC-9909EBE52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4" name="Imagen 9">
          <a:extLst>
            <a:ext uri="{FF2B5EF4-FFF2-40B4-BE49-F238E27FC236}">
              <a16:creationId xmlns:a16="http://schemas.microsoft.com/office/drawing/2014/main" id="{2C2386A1-4747-42CE-8887-7D6D6FE35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5" name="Imagen 9">
          <a:extLst>
            <a:ext uri="{FF2B5EF4-FFF2-40B4-BE49-F238E27FC236}">
              <a16:creationId xmlns:a16="http://schemas.microsoft.com/office/drawing/2014/main" id="{A8A9F3A1-CBC2-4BAD-935F-029369F10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6" name="Imagen 9">
          <a:extLst>
            <a:ext uri="{FF2B5EF4-FFF2-40B4-BE49-F238E27FC236}">
              <a16:creationId xmlns:a16="http://schemas.microsoft.com/office/drawing/2014/main" id="{9B7BF0A8-CE96-4FCA-82EB-B568DAFF9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7" name="Imagen 9">
          <a:extLst>
            <a:ext uri="{FF2B5EF4-FFF2-40B4-BE49-F238E27FC236}">
              <a16:creationId xmlns:a16="http://schemas.microsoft.com/office/drawing/2014/main" id="{CC6CBAF1-24B7-4CF8-88BC-D485E5B30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8" name="Imagen 9">
          <a:extLst>
            <a:ext uri="{FF2B5EF4-FFF2-40B4-BE49-F238E27FC236}">
              <a16:creationId xmlns:a16="http://schemas.microsoft.com/office/drawing/2014/main" id="{700386F6-F3D1-4344-BB17-EAB796854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9" name="Imagen 9">
          <a:extLst>
            <a:ext uri="{FF2B5EF4-FFF2-40B4-BE49-F238E27FC236}">
              <a16:creationId xmlns:a16="http://schemas.microsoft.com/office/drawing/2014/main" id="{6F2F696F-5117-483E-A63F-5ABEAEF0A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0" name="Imagen 9">
          <a:extLst>
            <a:ext uri="{FF2B5EF4-FFF2-40B4-BE49-F238E27FC236}">
              <a16:creationId xmlns:a16="http://schemas.microsoft.com/office/drawing/2014/main" id="{9A73C4A8-FF33-48D6-A09E-D8EE7BB01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1" name="Imagen 9">
          <a:extLst>
            <a:ext uri="{FF2B5EF4-FFF2-40B4-BE49-F238E27FC236}">
              <a16:creationId xmlns:a16="http://schemas.microsoft.com/office/drawing/2014/main" id="{92F10377-06E4-46DC-87E2-704D5B257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2" name="Imagen 9">
          <a:extLst>
            <a:ext uri="{FF2B5EF4-FFF2-40B4-BE49-F238E27FC236}">
              <a16:creationId xmlns:a16="http://schemas.microsoft.com/office/drawing/2014/main" id="{AE6B6641-29C0-4CD3-BEE9-C26738617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3" name="Imagen 9">
          <a:extLst>
            <a:ext uri="{FF2B5EF4-FFF2-40B4-BE49-F238E27FC236}">
              <a16:creationId xmlns:a16="http://schemas.microsoft.com/office/drawing/2014/main" id="{EFFC5878-9950-4BE4-BA70-BC43CF261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4" name="Imagen 9">
          <a:extLst>
            <a:ext uri="{FF2B5EF4-FFF2-40B4-BE49-F238E27FC236}">
              <a16:creationId xmlns:a16="http://schemas.microsoft.com/office/drawing/2014/main" id="{A884BB15-B10E-4441-B77B-3EFDB25C8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5" name="Imagen 9">
          <a:extLst>
            <a:ext uri="{FF2B5EF4-FFF2-40B4-BE49-F238E27FC236}">
              <a16:creationId xmlns:a16="http://schemas.microsoft.com/office/drawing/2014/main" id="{EAEBCA87-5913-43CD-B3CF-92FF6895C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6" name="Imagen 9">
          <a:extLst>
            <a:ext uri="{FF2B5EF4-FFF2-40B4-BE49-F238E27FC236}">
              <a16:creationId xmlns:a16="http://schemas.microsoft.com/office/drawing/2014/main" id="{5CA1182F-ACFE-4B3E-ACC7-3C56B935D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7" name="Imagen 9">
          <a:extLst>
            <a:ext uri="{FF2B5EF4-FFF2-40B4-BE49-F238E27FC236}">
              <a16:creationId xmlns:a16="http://schemas.microsoft.com/office/drawing/2014/main" id="{116A7384-B08F-4A51-88DC-F51F572B3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8" name="Imagen 9">
          <a:extLst>
            <a:ext uri="{FF2B5EF4-FFF2-40B4-BE49-F238E27FC236}">
              <a16:creationId xmlns:a16="http://schemas.microsoft.com/office/drawing/2014/main" id="{ECB9F635-F984-4E89-B185-00B18600B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9" name="Imagen 9">
          <a:extLst>
            <a:ext uri="{FF2B5EF4-FFF2-40B4-BE49-F238E27FC236}">
              <a16:creationId xmlns:a16="http://schemas.microsoft.com/office/drawing/2014/main" id="{F92C3F79-2BC9-4E9D-AAEB-18B2DB4C8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0" name="Imagen 9">
          <a:extLst>
            <a:ext uri="{FF2B5EF4-FFF2-40B4-BE49-F238E27FC236}">
              <a16:creationId xmlns:a16="http://schemas.microsoft.com/office/drawing/2014/main" id="{E0A4191E-DB5D-4015-8E63-B044AE275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1" name="Imagen 9">
          <a:extLst>
            <a:ext uri="{FF2B5EF4-FFF2-40B4-BE49-F238E27FC236}">
              <a16:creationId xmlns:a16="http://schemas.microsoft.com/office/drawing/2014/main" id="{26DD9EBF-D8A7-46F6-B6C1-714DD284D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2" name="Imagen 9">
          <a:extLst>
            <a:ext uri="{FF2B5EF4-FFF2-40B4-BE49-F238E27FC236}">
              <a16:creationId xmlns:a16="http://schemas.microsoft.com/office/drawing/2014/main" id="{C1BB2E53-799C-47E6-8E43-F62C606E8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3" name="Imagen 9">
          <a:extLst>
            <a:ext uri="{FF2B5EF4-FFF2-40B4-BE49-F238E27FC236}">
              <a16:creationId xmlns:a16="http://schemas.microsoft.com/office/drawing/2014/main" id="{34061512-B74E-4DBD-B628-22E99D517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4" name="Imagen 9">
          <a:extLst>
            <a:ext uri="{FF2B5EF4-FFF2-40B4-BE49-F238E27FC236}">
              <a16:creationId xmlns:a16="http://schemas.microsoft.com/office/drawing/2014/main" id="{C7EC5408-6A1C-4B5A-A1F1-871AA3BC3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5" name="Imagen 9">
          <a:extLst>
            <a:ext uri="{FF2B5EF4-FFF2-40B4-BE49-F238E27FC236}">
              <a16:creationId xmlns:a16="http://schemas.microsoft.com/office/drawing/2014/main" id="{E8A57C19-CD3C-4D09-84C8-6FDDCE8ED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6" name="Imagen 9">
          <a:extLst>
            <a:ext uri="{FF2B5EF4-FFF2-40B4-BE49-F238E27FC236}">
              <a16:creationId xmlns:a16="http://schemas.microsoft.com/office/drawing/2014/main" id="{4325400E-7CA3-4ED2-BE9D-D8ECD5937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7" name="Imagen 9">
          <a:extLst>
            <a:ext uri="{FF2B5EF4-FFF2-40B4-BE49-F238E27FC236}">
              <a16:creationId xmlns:a16="http://schemas.microsoft.com/office/drawing/2014/main" id="{12828020-0B6B-4AF7-9BE5-23A07FEFF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8" name="Imagen 9">
          <a:extLst>
            <a:ext uri="{FF2B5EF4-FFF2-40B4-BE49-F238E27FC236}">
              <a16:creationId xmlns:a16="http://schemas.microsoft.com/office/drawing/2014/main" id="{911FEE92-57B2-44CF-8760-CD3C4E0AA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9" name="Imagen 9">
          <a:extLst>
            <a:ext uri="{FF2B5EF4-FFF2-40B4-BE49-F238E27FC236}">
              <a16:creationId xmlns:a16="http://schemas.microsoft.com/office/drawing/2014/main" id="{963EF04A-E5EC-4260-83CF-B52853B2A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4E5DAC44-5C84-41F9-A909-59E828AFC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5EC8BB22-E8BA-474D-80B5-CB0D0F14B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EF1A34D8-8F14-419B-919B-122085EDF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E0FECEFF-D09D-4A53-B5C7-04FA9C7BA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837F2AF8-3D1B-4795-BFB8-BC4D4F48B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9B34446B-DECF-4DC1-88A1-8A0C741D1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A6C0A555-5528-49D8-8FE0-66180A8DB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F068605E-D6C2-4741-B383-7E5FFBC99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D1312D1-27C9-4315-B865-81CADA577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18A26E15-D713-45E6-B703-63B989CA6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FC1E6DFB-FC0E-44DD-9DC7-9C7E0F573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1363E0AF-6D5B-4A55-84F9-A87D2F7D7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D749EC70-D8FE-45D9-A3D5-8AD72B4C5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C12A2F4C-1463-4BC3-905A-93743AF61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4EA4CA4B-B508-4339-ACFB-16F63C322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7BB2D03-5075-42D9-B4DC-BC6761DA8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A544D7CA-93E7-47BA-82C6-22DE9EECB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7539ECE1-E4E2-42D5-B8DB-3806BE373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F5F0E3B9-770D-443C-AEF6-53CB33029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24FBA0B2-345F-4B6F-8EF0-45C390FDC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D085D407-8F16-4E43-A3EC-86B428F5B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CD428735-0280-4EAD-B81B-180313807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9DE79C5E-9DA3-439B-82A7-98D53FDDE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9AE89B17-895F-45E5-B3C8-20E49C760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8AE249EF-0856-4026-B840-15407F9B9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D1D11CEE-6154-4678-AF56-54704DE58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D5F9A9E8-9E7F-4ED0-808B-0A5C67398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620717DF-C469-4F39-A14A-01E27F5C9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1292881A-7AB5-4F06-B120-349635FD4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4F9B92CE-81E5-4FE4-BA98-CBF6F639E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C3868AC2-2D85-49F1-84B0-8E71BFA4A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4651EAC9-3D04-4B74-B612-A8A27E54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66BB7685-823E-4E02-87AE-870A74EDC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24892129-4C6D-40F8-ADB4-A3DC06BCD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2826A544-30C1-42FA-910F-9474C259C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1A3A277E-4FCC-4E66-9973-ED16EDF65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9EC5EB73-EE2D-419F-A8D5-18237B509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F1007D7F-D822-4BE8-9E83-1193DC6B7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8B666BC0-0A88-46A3-9ACC-CA5F1941F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E0C6CE98-7661-4B5C-8193-36BB8B659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DFA741AC-E66B-4BE3-B14B-58744AACB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759F8A71-0A10-4C49-B7E7-9DD3213F2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5FD3FA78-F0FD-4FFB-A5F0-DD812E742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22F59C0D-25F5-481C-80E7-54B907D11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2D9A2955-279E-4060-88E0-7352E95B2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82FC4710-8349-42EE-AE07-B486755D1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89E9D0E0-3644-45F0-8B2F-1BEE595E0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416D5C04-E4D2-4BE0-AF4C-4AAC58034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CC64C0BA-3831-4D0F-94B6-DE6C550D4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12A44844-8A3A-410F-BE18-F19AFD6D1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A5362750-77B3-47F5-BB57-B7878FE35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EADA3EE2-CFC7-4D8C-995B-E700AD9A9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384A49B2-4AAB-4709-897C-D2583D27E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72BF8E5-BEA6-4E02-B50B-0AC851641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114C8E39-46EF-422F-A429-0F99CE812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89E4BFF0-628E-4002-9CD5-3A5B0F965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27A9E44F-61F0-4802-8E45-92F5F917E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88708EFE-D3FE-4905-BCA8-D87A6774B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3A79DCCA-E27D-45EF-98CF-C46510F6B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B39906BB-C35C-4BA4-93BB-1E1EBF7BA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2BAB4FED-A360-4250-96C8-ACCD43497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80D0628A-DD59-486B-BCEA-5F850E482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DFC7C594-5601-4B12-9BFB-CEEC9693A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B1300260-D3A7-4505-957D-17AD2D329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45081134-F42C-44F3-9E0B-5C0E37AD2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2CD0750E-7249-41B3-9B10-DF97C7D0A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36488D8C-608C-4354-84A8-6B0044523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5162E67F-CD03-4872-B46E-A517B112C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0" name="Imagen 9">
          <a:extLst>
            <a:ext uri="{FF2B5EF4-FFF2-40B4-BE49-F238E27FC236}">
              <a16:creationId xmlns:a16="http://schemas.microsoft.com/office/drawing/2014/main" id="{B50ED567-701A-460B-ACAA-F858F29BC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1" name="Imagen 9">
          <a:extLst>
            <a:ext uri="{FF2B5EF4-FFF2-40B4-BE49-F238E27FC236}">
              <a16:creationId xmlns:a16="http://schemas.microsoft.com/office/drawing/2014/main" id="{F4B2AC88-E38E-4B7C-98BD-EA3F617EC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2" name="Imagen 9">
          <a:extLst>
            <a:ext uri="{FF2B5EF4-FFF2-40B4-BE49-F238E27FC236}">
              <a16:creationId xmlns:a16="http://schemas.microsoft.com/office/drawing/2014/main" id="{E32C96FC-4883-4826-BA15-01FAC2889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3" name="Imagen 9">
          <a:extLst>
            <a:ext uri="{FF2B5EF4-FFF2-40B4-BE49-F238E27FC236}">
              <a16:creationId xmlns:a16="http://schemas.microsoft.com/office/drawing/2014/main" id="{6049AB03-BD78-406E-BF42-CD15694C4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4" name="Imagen 9">
          <a:extLst>
            <a:ext uri="{FF2B5EF4-FFF2-40B4-BE49-F238E27FC236}">
              <a16:creationId xmlns:a16="http://schemas.microsoft.com/office/drawing/2014/main" id="{505F637B-A9EE-4942-8CAD-72460417E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5" name="Imagen 9">
          <a:extLst>
            <a:ext uri="{FF2B5EF4-FFF2-40B4-BE49-F238E27FC236}">
              <a16:creationId xmlns:a16="http://schemas.microsoft.com/office/drawing/2014/main" id="{86E48D34-4C42-4C81-A988-A23C3D9C2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6" name="Imagen 9">
          <a:extLst>
            <a:ext uri="{FF2B5EF4-FFF2-40B4-BE49-F238E27FC236}">
              <a16:creationId xmlns:a16="http://schemas.microsoft.com/office/drawing/2014/main" id="{2E7709EB-8201-40CA-9A80-80FD412B0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3FB45A2F-B0A0-49E2-B933-3580CF13A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8" name="Imagen 9">
          <a:extLst>
            <a:ext uri="{FF2B5EF4-FFF2-40B4-BE49-F238E27FC236}">
              <a16:creationId xmlns:a16="http://schemas.microsoft.com/office/drawing/2014/main" id="{673C5B13-57BD-46E5-96D7-0FEC9B91F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9" name="Imagen 9">
          <a:extLst>
            <a:ext uri="{FF2B5EF4-FFF2-40B4-BE49-F238E27FC236}">
              <a16:creationId xmlns:a16="http://schemas.microsoft.com/office/drawing/2014/main" id="{0D28FDF5-1C70-430A-878C-555321340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0" name="Imagen 9">
          <a:extLst>
            <a:ext uri="{FF2B5EF4-FFF2-40B4-BE49-F238E27FC236}">
              <a16:creationId xmlns:a16="http://schemas.microsoft.com/office/drawing/2014/main" id="{0408E5BE-7DBB-4BA7-8296-E304064AA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1" name="Imagen 9">
          <a:extLst>
            <a:ext uri="{FF2B5EF4-FFF2-40B4-BE49-F238E27FC236}">
              <a16:creationId xmlns:a16="http://schemas.microsoft.com/office/drawing/2014/main" id="{A3DC14EB-00D5-4AB4-AC81-492AC03EE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2" name="Imagen 9">
          <a:extLst>
            <a:ext uri="{FF2B5EF4-FFF2-40B4-BE49-F238E27FC236}">
              <a16:creationId xmlns:a16="http://schemas.microsoft.com/office/drawing/2014/main" id="{775200F1-E19B-4052-BDBA-E01ED0823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3" name="Imagen 9">
          <a:extLst>
            <a:ext uri="{FF2B5EF4-FFF2-40B4-BE49-F238E27FC236}">
              <a16:creationId xmlns:a16="http://schemas.microsoft.com/office/drawing/2014/main" id="{A7B1BFC2-F67D-4819-86EC-28DAD5BA0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4" name="Imagen 9">
          <a:extLst>
            <a:ext uri="{FF2B5EF4-FFF2-40B4-BE49-F238E27FC236}">
              <a16:creationId xmlns:a16="http://schemas.microsoft.com/office/drawing/2014/main" id="{F7ABC506-1325-4E91-9589-C17D64ED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5" name="Imagen 9">
          <a:extLst>
            <a:ext uri="{FF2B5EF4-FFF2-40B4-BE49-F238E27FC236}">
              <a16:creationId xmlns:a16="http://schemas.microsoft.com/office/drawing/2014/main" id="{93EFA536-08A0-4188-8AF5-CD3BB0199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6" name="Imagen 9">
          <a:extLst>
            <a:ext uri="{FF2B5EF4-FFF2-40B4-BE49-F238E27FC236}">
              <a16:creationId xmlns:a16="http://schemas.microsoft.com/office/drawing/2014/main" id="{DC096FA4-FAAF-4E29-A329-80132E98D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7" name="Imagen 9">
          <a:extLst>
            <a:ext uri="{FF2B5EF4-FFF2-40B4-BE49-F238E27FC236}">
              <a16:creationId xmlns:a16="http://schemas.microsoft.com/office/drawing/2014/main" id="{EDA57AB6-C08D-4D1A-B00B-4D55E4506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8" name="Imagen 9">
          <a:extLst>
            <a:ext uri="{FF2B5EF4-FFF2-40B4-BE49-F238E27FC236}">
              <a16:creationId xmlns:a16="http://schemas.microsoft.com/office/drawing/2014/main" id="{5FF6713F-4DA5-4075-BAAC-AB5B13601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9" name="Imagen 9">
          <a:extLst>
            <a:ext uri="{FF2B5EF4-FFF2-40B4-BE49-F238E27FC236}">
              <a16:creationId xmlns:a16="http://schemas.microsoft.com/office/drawing/2014/main" id="{61FDA461-4CBA-4F44-B4AA-D8F1C4106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0" name="Imagen 9">
          <a:extLst>
            <a:ext uri="{FF2B5EF4-FFF2-40B4-BE49-F238E27FC236}">
              <a16:creationId xmlns:a16="http://schemas.microsoft.com/office/drawing/2014/main" id="{C0368486-42F3-408A-8704-AB3FB3801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1" name="Imagen 9">
          <a:extLst>
            <a:ext uri="{FF2B5EF4-FFF2-40B4-BE49-F238E27FC236}">
              <a16:creationId xmlns:a16="http://schemas.microsoft.com/office/drawing/2014/main" id="{E14F8735-C0C7-4047-9BA8-C3D0F84B7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2" name="Imagen 9">
          <a:extLst>
            <a:ext uri="{FF2B5EF4-FFF2-40B4-BE49-F238E27FC236}">
              <a16:creationId xmlns:a16="http://schemas.microsoft.com/office/drawing/2014/main" id="{648ABFA8-D5BF-4A2A-93E1-C3A39C5F9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3" name="Imagen 9">
          <a:extLst>
            <a:ext uri="{FF2B5EF4-FFF2-40B4-BE49-F238E27FC236}">
              <a16:creationId xmlns:a16="http://schemas.microsoft.com/office/drawing/2014/main" id="{A0BAB546-DC49-4C86-9F99-92EEC0298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4" name="Imagen 9">
          <a:extLst>
            <a:ext uri="{FF2B5EF4-FFF2-40B4-BE49-F238E27FC236}">
              <a16:creationId xmlns:a16="http://schemas.microsoft.com/office/drawing/2014/main" id="{40C7E49D-5667-43E9-A229-EF0895888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5" name="Imagen 9">
          <a:extLst>
            <a:ext uri="{FF2B5EF4-FFF2-40B4-BE49-F238E27FC236}">
              <a16:creationId xmlns:a16="http://schemas.microsoft.com/office/drawing/2014/main" id="{DFA8D641-22EA-4910-8E0D-CCD565E6E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6" name="Imagen 9">
          <a:extLst>
            <a:ext uri="{FF2B5EF4-FFF2-40B4-BE49-F238E27FC236}">
              <a16:creationId xmlns:a16="http://schemas.microsoft.com/office/drawing/2014/main" id="{6445A353-BE22-4562-8625-A9A4CF1CA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7" name="Imagen 9">
          <a:extLst>
            <a:ext uri="{FF2B5EF4-FFF2-40B4-BE49-F238E27FC236}">
              <a16:creationId xmlns:a16="http://schemas.microsoft.com/office/drawing/2014/main" id="{ADB44AA4-3BA1-4969-92FF-C31AB25C4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8" name="Imagen 9">
          <a:extLst>
            <a:ext uri="{FF2B5EF4-FFF2-40B4-BE49-F238E27FC236}">
              <a16:creationId xmlns:a16="http://schemas.microsoft.com/office/drawing/2014/main" id="{22CC4FDA-26CD-489C-999D-AFB612747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9" name="Imagen 9">
          <a:extLst>
            <a:ext uri="{FF2B5EF4-FFF2-40B4-BE49-F238E27FC236}">
              <a16:creationId xmlns:a16="http://schemas.microsoft.com/office/drawing/2014/main" id="{8EE66E84-F70C-420E-855F-F87E47948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0" name="Imagen 9">
          <a:extLst>
            <a:ext uri="{FF2B5EF4-FFF2-40B4-BE49-F238E27FC236}">
              <a16:creationId xmlns:a16="http://schemas.microsoft.com/office/drawing/2014/main" id="{D7C4E768-4616-430C-953A-85DEDEC42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1" name="Imagen 9">
          <a:extLst>
            <a:ext uri="{FF2B5EF4-FFF2-40B4-BE49-F238E27FC236}">
              <a16:creationId xmlns:a16="http://schemas.microsoft.com/office/drawing/2014/main" id="{B2E830BD-9811-4AF4-8D56-3270A472D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2" name="Imagen 9">
          <a:extLst>
            <a:ext uri="{FF2B5EF4-FFF2-40B4-BE49-F238E27FC236}">
              <a16:creationId xmlns:a16="http://schemas.microsoft.com/office/drawing/2014/main" id="{9A7DBEC7-235B-4628-989C-A1AD79A2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3" name="Imagen 9">
          <a:extLst>
            <a:ext uri="{FF2B5EF4-FFF2-40B4-BE49-F238E27FC236}">
              <a16:creationId xmlns:a16="http://schemas.microsoft.com/office/drawing/2014/main" id="{FF1A6FD7-08B1-45B1-B3B4-64183C333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4" name="Imagen 9">
          <a:extLst>
            <a:ext uri="{FF2B5EF4-FFF2-40B4-BE49-F238E27FC236}">
              <a16:creationId xmlns:a16="http://schemas.microsoft.com/office/drawing/2014/main" id="{ED8E9C57-97DE-4CFB-9A8E-F7012E533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5" name="Imagen 9">
          <a:extLst>
            <a:ext uri="{FF2B5EF4-FFF2-40B4-BE49-F238E27FC236}">
              <a16:creationId xmlns:a16="http://schemas.microsoft.com/office/drawing/2014/main" id="{4EBEBD9A-DB4B-4B22-B219-02A66045E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6" name="Imagen 9">
          <a:extLst>
            <a:ext uri="{FF2B5EF4-FFF2-40B4-BE49-F238E27FC236}">
              <a16:creationId xmlns:a16="http://schemas.microsoft.com/office/drawing/2014/main" id="{2AC1AB81-4404-4133-A318-156D6D7BB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7" name="Imagen 9">
          <a:extLst>
            <a:ext uri="{FF2B5EF4-FFF2-40B4-BE49-F238E27FC236}">
              <a16:creationId xmlns:a16="http://schemas.microsoft.com/office/drawing/2014/main" id="{7A0EBE64-D414-4FBF-9C22-0C9FDCAB5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8" name="Imagen 9">
          <a:extLst>
            <a:ext uri="{FF2B5EF4-FFF2-40B4-BE49-F238E27FC236}">
              <a16:creationId xmlns:a16="http://schemas.microsoft.com/office/drawing/2014/main" id="{6AA71641-3DAB-4AA3-BACE-095548147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9" name="Imagen 9">
          <a:extLst>
            <a:ext uri="{FF2B5EF4-FFF2-40B4-BE49-F238E27FC236}">
              <a16:creationId xmlns:a16="http://schemas.microsoft.com/office/drawing/2014/main" id="{19C0C031-C8D1-4784-9FD2-7C76E30CF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0" name="Imagen 9">
          <a:extLst>
            <a:ext uri="{FF2B5EF4-FFF2-40B4-BE49-F238E27FC236}">
              <a16:creationId xmlns:a16="http://schemas.microsoft.com/office/drawing/2014/main" id="{57D15A9C-3DD0-4454-84A0-3C19D6DCC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1" name="Imagen 9">
          <a:extLst>
            <a:ext uri="{FF2B5EF4-FFF2-40B4-BE49-F238E27FC236}">
              <a16:creationId xmlns:a16="http://schemas.microsoft.com/office/drawing/2014/main" id="{3F9A1FCE-3B2D-4144-ADE1-C1AE11324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2" name="Imagen 9">
          <a:extLst>
            <a:ext uri="{FF2B5EF4-FFF2-40B4-BE49-F238E27FC236}">
              <a16:creationId xmlns:a16="http://schemas.microsoft.com/office/drawing/2014/main" id="{87B54F74-5301-4DDA-AFE6-DE69F8763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3" name="Imagen 9">
          <a:extLst>
            <a:ext uri="{FF2B5EF4-FFF2-40B4-BE49-F238E27FC236}">
              <a16:creationId xmlns:a16="http://schemas.microsoft.com/office/drawing/2014/main" id="{E4ADAD72-4B93-4A37-95E8-1C58E9C43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4" name="Imagen 9">
          <a:extLst>
            <a:ext uri="{FF2B5EF4-FFF2-40B4-BE49-F238E27FC236}">
              <a16:creationId xmlns:a16="http://schemas.microsoft.com/office/drawing/2014/main" id="{56D61EF9-F32E-46E0-8E77-FA3A75DB6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5" name="Imagen 9">
          <a:extLst>
            <a:ext uri="{FF2B5EF4-FFF2-40B4-BE49-F238E27FC236}">
              <a16:creationId xmlns:a16="http://schemas.microsoft.com/office/drawing/2014/main" id="{D844FC81-607E-4CBB-B245-CCB4BE493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6" name="Imagen 9">
          <a:extLst>
            <a:ext uri="{FF2B5EF4-FFF2-40B4-BE49-F238E27FC236}">
              <a16:creationId xmlns:a16="http://schemas.microsoft.com/office/drawing/2014/main" id="{CA92D6D9-1BF6-41C0-83DD-CC048419A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7" name="Imagen 9">
          <a:extLst>
            <a:ext uri="{FF2B5EF4-FFF2-40B4-BE49-F238E27FC236}">
              <a16:creationId xmlns:a16="http://schemas.microsoft.com/office/drawing/2014/main" id="{CBB25F9A-28EF-440E-801B-F02BD85F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8" name="Imagen 9">
          <a:extLst>
            <a:ext uri="{FF2B5EF4-FFF2-40B4-BE49-F238E27FC236}">
              <a16:creationId xmlns:a16="http://schemas.microsoft.com/office/drawing/2014/main" id="{64934CE2-1060-4E13-BE0C-DE961291E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9" name="Imagen 9">
          <a:extLst>
            <a:ext uri="{FF2B5EF4-FFF2-40B4-BE49-F238E27FC236}">
              <a16:creationId xmlns:a16="http://schemas.microsoft.com/office/drawing/2014/main" id="{B05456B5-6C27-4A21-A40A-FBCB27463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0" name="Imagen 9">
          <a:extLst>
            <a:ext uri="{FF2B5EF4-FFF2-40B4-BE49-F238E27FC236}">
              <a16:creationId xmlns:a16="http://schemas.microsoft.com/office/drawing/2014/main" id="{443ADDC3-88C7-4DEE-A9DD-B80B7B5A0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1" name="Imagen 9">
          <a:extLst>
            <a:ext uri="{FF2B5EF4-FFF2-40B4-BE49-F238E27FC236}">
              <a16:creationId xmlns:a16="http://schemas.microsoft.com/office/drawing/2014/main" id="{3EF82BD6-FDA3-4500-8ED4-15770390F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2" name="Imagen 9">
          <a:extLst>
            <a:ext uri="{FF2B5EF4-FFF2-40B4-BE49-F238E27FC236}">
              <a16:creationId xmlns:a16="http://schemas.microsoft.com/office/drawing/2014/main" id="{7441DD45-7938-43D9-AF93-F1103272D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3" name="Imagen 9">
          <a:extLst>
            <a:ext uri="{FF2B5EF4-FFF2-40B4-BE49-F238E27FC236}">
              <a16:creationId xmlns:a16="http://schemas.microsoft.com/office/drawing/2014/main" id="{95A6B717-A43F-4E9F-AD3C-527100C78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4" name="Imagen 9">
          <a:extLst>
            <a:ext uri="{FF2B5EF4-FFF2-40B4-BE49-F238E27FC236}">
              <a16:creationId xmlns:a16="http://schemas.microsoft.com/office/drawing/2014/main" id="{E00432AC-6E95-4D49-BF0A-8B224F3ED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5" name="Imagen 9">
          <a:extLst>
            <a:ext uri="{FF2B5EF4-FFF2-40B4-BE49-F238E27FC236}">
              <a16:creationId xmlns:a16="http://schemas.microsoft.com/office/drawing/2014/main" id="{138046A8-6D9B-41E9-A528-DCE2DDFF4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6" name="Imagen 9">
          <a:extLst>
            <a:ext uri="{FF2B5EF4-FFF2-40B4-BE49-F238E27FC236}">
              <a16:creationId xmlns:a16="http://schemas.microsoft.com/office/drawing/2014/main" id="{E32EF250-2237-4594-9025-F312149DC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7" name="Imagen 9">
          <a:extLst>
            <a:ext uri="{FF2B5EF4-FFF2-40B4-BE49-F238E27FC236}">
              <a16:creationId xmlns:a16="http://schemas.microsoft.com/office/drawing/2014/main" id="{CB59EDB8-6B50-46B1-970F-2684BF61A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8" name="Imagen 9">
          <a:extLst>
            <a:ext uri="{FF2B5EF4-FFF2-40B4-BE49-F238E27FC236}">
              <a16:creationId xmlns:a16="http://schemas.microsoft.com/office/drawing/2014/main" id="{5828986B-65E0-4163-9E95-4887AE0EB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9" name="Imagen 9">
          <a:extLst>
            <a:ext uri="{FF2B5EF4-FFF2-40B4-BE49-F238E27FC236}">
              <a16:creationId xmlns:a16="http://schemas.microsoft.com/office/drawing/2014/main" id="{BFFA958D-4B72-46C9-8210-01DAC30A0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0" name="Imagen 9">
          <a:extLst>
            <a:ext uri="{FF2B5EF4-FFF2-40B4-BE49-F238E27FC236}">
              <a16:creationId xmlns:a16="http://schemas.microsoft.com/office/drawing/2014/main" id="{D3F1447E-6D4E-46DF-B1BA-3D16DA517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1" name="Imagen 9">
          <a:extLst>
            <a:ext uri="{FF2B5EF4-FFF2-40B4-BE49-F238E27FC236}">
              <a16:creationId xmlns:a16="http://schemas.microsoft.com/office/drawing/2014/main" id="{D9E8DA5E-8914-4CAC-8CA3-DA1EBE1B4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2" name="Imagen 9">
          <a:extLst>
            <a:ext uri="{FF2B5EF4-FFF2-40B4-BE49-F238E27FC236}">
              <a16:creationId xmlns:a16="http://schemas.microsoft.com/office/drawing/2014/main" id="{0EBEF603-4021-42B3-853A-385C2CA9A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3" name="Imagen 9">
          <a:extLst>
            <a:ext uri="{FF2B5EF4-FFF2-40B4-BE49-F238E27FC236}">
              <a16:creationId xmlns:a16="http://schemas.microsoft.com/office/drawing/2014/main" id="{D9F7F6C6-C8FE-44B7-A8E8-83FF64897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4" name="Imagen 9">
          <a:extLst>
            <a:ext uri="{FF2B5EF4-FFF2-40B4-BE49-F238E27FC236}">
              <a16:creationId xmlns:a16="http://schemas.microsoft.com/office/drawing/2014/main" id="{A2D1F68F-8BD6-4A21-B7E5-44018CFB3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5" name="Imagen 9">
          <a:extLst>
            <a:ext uri="{FF2B5EF4-FFF2-40B4-BE49-F238E27FC236}">
              <a16:creationId xmlns:a16="http://schemas.microsoft.com/office/drawing/2014/main" id="{27D80942-867D-4A40-A08E-93ECA4048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6" name="Imagen 9">
          <a:extLst>
            <a:ext uri="{FF2B5EF4-FFF2-40B4-BE49-F238E27FC236}">
              <a16:creationId xmlns:a16="http://schemas.microsoft.com/office/drawing/2014/main" id="{277F8020-13E1-45FB-9170-327875073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7" name="Imagen 9">
          <a:extLst>
            <a:ext uri="{FF2B5EF4-FFF2-40B4-BE49-F238E27FC236}">
              <a16:creationId xmlns:a16="http://schemas.microsoft.com/office/drawing/2014/main" id="{52667C97-60F9-4B2C-84F5-9AC2CA841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8" name="Imagen 9">
          <a:extLst>
            <a:ext uri="{FF2B5EF4-FFF2-40B4-BE49-F238E27FC236}">
              <a16:creationId xmlns:a16="http://schemas.microsoft.com/office/drawing/2014/main" id="{0230ADB5-35D5-4C8C-B5EB-D25F654B6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9" name="Imagen 9">
          <a:extLst>
            <a:ext uri="{FF2B5EF4-FFF2-40B4-BE49-F238E27FC236}">
              <a16:creationId xmlns:a16="http://schemas.microsoft.com/office/drawing/2014/main" id="{C0A3A881-5544-4466-891C-98A23B3D8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39" y="59841"/>
          <a:ext cx="797839" cy="48084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60"/>
  <sheetViews>
    <sheetView view="pageBreakPreview" topLeftCell="A13" zoomScale="90" zoomScaleNormal="100" zoomScaleSheetLayoutView="90" workbookViewId="0">
      <selection activeCell="C31" sqref="C31:D31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27.1093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" style="2" customWidth="1" collapsed="1"/>
    <col min="12" max="12" width="14.44140625" style="2" hidden="1" customWidth="1" collapsed="1"/>
    <col min="13" max="14" width="11.44140625" style="6" hidden="1" customWidth="1" collapsed="1"/>
    <col min="15" max="16" width="11.44140625" style="2" hidden="1" customWidth="1" collapsed="1"/>
    <col min="17" max="21" width="11.44140625" style="2" collapsed="1"/>
    <col min="22" max="25" width="0" style="2" hidden="1" customWidth="1" collapsed="1"/>
    <col min="26" max="16384" width="11.44140625" style="2" collapsed="1"/>
  </cols>
  <sheetData>
    <row r="1" spans="1:22" ht="15" customHeight="1" x14ac:dyDescent="0.3">
      <c r="A1" s="149"/>
      <c r="B1" s="149"/>
      <c r="C1" s="156" t="s">
        <v>16</v>
      </c>
      <c r="D1" s="157"/>
      <c r="E1" s="157"/>
      <c r="F1" s="157"/>
      <c r="G1" s="157"/>
      <c r="H1" s="158"/>
      <c r="I1" s="30" t="s">
        <v>25</v>
      </c>
      <c r="J1" s="152" t="s">
        <v>49</v>
      </c>
      <c r="K1" s="153"/>
    </row>
    <row r="2" spans="1:22" ht="15.7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22" x14ac:dyDescent="0.3">
      <c r="A3" s="149"/>
      <c r="B3" s="149"/>
      <c r="C3" s="162"/>
      <c r="D3" s="163"/>
      <c r="E3" s="163"/>
      <c r="F3" s="163"/>
      <c r="G3" s="163"/>
      <c r="H3" s="164"/>
      <c r="I3" s="30" t="s">
        <v>27</v>
      </c>
      <c r="J3" s="154">
        <v>42286</v>
      </c>
      <c r="K3" s="155"/>
    </row>
    <row r="4" spans="1:22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22" ht="15.75" customHeight="1" x14ac:dyDescent="0.3">
      <c r="A5" s="3"/>
      <c r="B5" s="13" t="s">
        <v>32</v>
      </c>
      <c r="C5" s="150" t="s">
        <v>2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22" ht="15.75" customHeight="1" x14ac:dyDescent="0.3">
      <c r="A6" s="18"/>
      <c r="E6" s="19"/>
      <c r="F6" s="19"/>
      <c r="G6" s="11"/>
    </row>
    <row r="7" spans="1:22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22" ht="28.8" x14ac:dyDescent="0.3">
      <c r="A8" s="48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22" ht="18" customHeight="1" x14ac:dyDescent="0.3">
      <c r="A9" s="29">
        <v>1</v>
      </c>
      <c r="B9" s="124" t="s">
        <v>29</v>
      </c>
      <c r="C9" s="125"/>
      <c r="D9" s="28">
        <v>5</v>
      </c>
      <c r="E9" s="28">
        <v>5</v>
      </c>
      <c r="F9" s="7">
        <v>5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  <c r="V9" s="90" t="s">
        <v>2</v>
      </c>
    </row>
    <row r="10" spans="1:22" ht="18" customHeight="1" x14ac:dyDescent="0.3">
      <c r="A10" s="29">
        <v>2</v>
      </c>
      <c r="B10" s="124" t="s">
        <v>28</v>
      </c>
      <c r="C10" s="125"/>
      <c r="D10" s="28">
        <v>5</v>
      </c>
      <c r="E10" s="28">
        <v>5</v>
      </c>
      <c r="F10" s="7">
        <v>5</v>
      </c>
      <c r="G10" s="22">
        <f t="shared" ref="G10:G29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V10" s="90" t="s">
        <v>48</v>
      </c>
    </row>
    <row r="11" spans="1:22" ht="18" customHeight="1" x14ac:dyDescent="0.3">
      <c r="A11" s="29">
        <v>3</v>
      </c>
      <c r="B11" s="124" t="s">
        <v>31</v>
      </c>
      <c r="C11" s="125"/>
      <c r="D11" s="28">
        <v>5</v>
      </c>
      <c r="E11" s="28">
        <v>5</v>
      </c>
      <c r="F11" s="7">
        <v>5</v>
      </c>
      <c r="G11" s="22">
        <f t="shared" si="0"/>
        <v>1</v>
      </c>
      <c r="H11" s="134"/>
      <c r="I11" s="134"/>
      <c r="J11" s="134"/>
      <c r="K11" s="134"/>
      <c r="V11" s="90" t="s">
        <v>121</v>
      </c>
    </row>
    <row r="12" spans="1:22" ht="18" customHeight="1" x14ac:dyDescent="0.3">
      <c r="A12" s="29">
        <v>4</v>
      </c>
      <c r="B12" s="124" t="s">
        <v>30</v>
      </c>
      <c r="C12" s="125"/>
      <c r="D12" s="28">
        <v>5</v>
      </c>
      <c r="E12" s="28">
        <v>5</v>
      </c>
      <c r="F12" s="7">
        <v>5</v>
      </c>
      <c r="G12" s="22">
        <f t="shared" si="0"/>
        <v>1</v>
      </c>
      <c r="H12" s="134"/>
      <c r="I12" s="134"/>
      <c r="J12" s="134"/>
      <c r="K12" s="134"/>
      <c r="V12" s="90" t="s">
        <v>13</v>
      </c>
    </row>
    <row r="13" spans="1:22" ht="18" customHeight="1" x14ac:dyDescent="0.3">
      <c r="A13" s="29">
        <v>5</v>
      </c>
      <c r="B13" s="124" t="s">
        <v>22</v>
      </c>
      <c r="C13" s="125"/>
      <c r="D13" s="28">
        <v>5</v>
      </c>
      <c r="E13" s="28">
        <v>5</v>
      </c>
      <c r="F13" s="7">
        <v>5</v>
      </c>
      <c r="G13" s="22">
        <f t="shared" si="0"/>
        <v>1</v>
      </c>
      <c r="H13" s="134"/>
      <c r="I13" s="134"/>
      <c r="J13" s="134"/>
      <c r="K13" s="134"/>
      <c r="V13" s="90" t="s">
        <v>47</v>
      </c>
    </row>
    <row r="14" spans="1:22" ht="18" customHeight="1" x14ac:dyDescent="0.3">
      <c r="A14" s="29">
        <v>6</v>
      </c>
      <c r="B14" s="126" t="s">
        <v>55</v>
      </c>
      <c r="C14" s="127"/>
      <c r="D14" s="28">
        <v>1</v>
      </c>
      <c r="E14" s="28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V14" s="90" t="s">
        <v>12</v>
      </c>
    </row>
    <row r="15" spans="1:22" ht="18" customHeight="1" x14ac:dyDescent="0.3">
      <c r="A15" s="117">
        <v>7</v>
      </c>
      <c r="B15" s="135" t="s">
        <v>24</v>
      </c>
      <c r="C15" s="136"/>
      <c r="D15" s="141">
        <v>3</v>
      </c>
      <c r="E15" s="141">
        <v>3</v>
      </c>
      <c r="F15" s="144">
        <v>3</v>
      </c>
      <c r="G15" s="128">
        <f>IF(D15="","",IF(D15=0,"-",IF(F15&gt;D15,"ERROR",IF(E15&gt;D15,"ERROR",IF(E15&lt;D15,0,IF(E15&gt;F15,0,IF(F15=D15,1,0)))))))</f>
        <v>1</v>
      </c>
      <c r="H15" s="51" t="s">
        <v>63</v>
      </c>
      <c r="I15" s="46"/>
      <c r="J15" s="51" t="s">
        <v>62</v>
      </c>
      <c r="K15" s="46"/>
      <c r="V15" s="90" t="s">
        <v>122</v>
      </c>
    </row>
    <row r="16" spans="1:22" ht="18" customHeight="1" x14ac:dyDescent="0.3">
      <c r="A16" s="118"/>
      <c r="B16" s="137"/>
      <c r="C16" s="138"/>
      <c r="D16" s="142"/>
      <c r="E16" s="142"/>
      <c r="F16" s="145"/>
      <c r="G16" s="129"/>
      <c r="H16" s="51" t="s">
        <v>64</v>
      </c>
      <c r="I16" s="60"/>
      <c r="J16" s="51" t="s">
        <v>62</v>
      </c>
      <c r="K16" s="46"/>
      <c r="M16" s="2"/>
      <c r="N16" s="2"/>
      <c r="V16" s="90" t="s">
        <v>123</v>
      </c>
    </row>
    <row r="17" spans="1:22" ht="18" customHeight="1" x14ac:dyDescent="0.3">
      <c r="A17" s="118"/>
      <c r="B17" s="137"/>
      <c r="C17" s="138"/>
      <c r="D17" s="142"/>
      <c r="E17" s="142"/>
      <c r="F17" s="145"/>
      <c r="G17" s="129"/>
      <c r="H17" s="51" t="s">
        <v>65</v>
      </c>
      <c r="I17" s="61"/>
      <c r="J17" s="51" t="s">
        <v>62</v>
      </c>
      <c r="K17" s="46"/>
      <c r="M17" s="2"/>
      <c r="N17" s="2"/>
      <c r="V17" s="90" t="s">
        <v>14</v>
      </c>
    </row>
    <row r="18" spans="1:22" ht="18" customHeight="1" x14ac:dyDescent="0.3">
      <c r="A18" s="118"/>
      <c r="B18" s="137"/>
      <c r="C18" s="138"/>
      <c r="D18" s="142"/>
      <c r="E18" s="142"/>
      <c r="F18" s="145"/>
      <c r="G18" s="129"/>
      <c r="H18" s="51" t="s">
        <v>66</v>
      </c>
      <c r="I18" s="61"/>
      <c r="J18" s="51" t="s">
        <v>62</v>
      </c>
      <c r="K18" s="46"/>
      <c r="M18" s="2"/>
      <c r="N18" s="2"/>
      <c r="V18" s="90" t="s">
        <v>6</v>
      </c>
    </row>
    <row r="19" spans="1:22" ht="18" customHeight="1" x14ac:dyDescent="0.3">
      <c r="A19" s="118"/>
      <c r="B19" s="137"/>
      <c r="C19" s="138"/>
      <c r="D19" s="142"/>
      <c r="E19" s="142"/>
      <c r="F19" s="145"/>
      <c r="G19" s="129"/>
      <c r="H19" s="51" t="s">
        <v>67</v>
      </c>
      <c r="I19" s="61"/>
      <c r="J19" s="51" t="s">
        <v>62</v>
      </c>
      <c r="K19" s="46"/>
      <c r="M19" s="2"/>
      <c r="N19" s="2"/>
      <c r="V19" s="90" t="s">
        <v>78</v>
      </c>
    </row>
    <row r="20" spans="1:22" ht="18" customHeight="1" x14ac:dyDescent="0.3">
      <c r="A20" s="118"/>
      <c r="B20" s="137"/>
      <c r="C20" s="138"/>
      <c r="D20" s="142"/>
      <c r="E20" s="142"/>
      <c r="F20" s="145"/>
      <c r="G20" s="129"/>
      <c r="H20" s="51" t="s">
        <v>68</v>
      </c>
      <c r="I20" s="45"/>
      <c r="J20" s="51" t="s">
        <v>62</v>
      </c>
      <c r="K20" s="46"/>
      <c r="M20" s="2"/>
      <c r="N20" s="2"/>
      <c r="V20" s="90" t="s">
        <v>7</v>
      </c>
    </row>
    <row r="21" spans="1:22" ht="18.75" customHeight="1" x14ac:dyDescent="0.3">
      <c r="A21" s="118"/>
      <c r="B21" s="137"/>
      <c r="C21" s="138"/>
      <c r="D21" s="142"/>
      <c r="E21" s="142"/>
      <c r="F21" s="145"/>
      <c r="G21" s="129"/>
      <c r="H21" s="51" t="s">
        <v>69</v>
      </c>
      <c r="I21" s="45"/>
      <c r="J21" s="51" t="s">
        <v>62</v>
      </c>
      <c r="K21" s="46"/>
      <c r="L21" s="4"/>
      <c r="M21" s="2"/>
      <c r="N21" s="2"/>
      <c r="V21" s="90" t="s">
        <v>124</v>
      </c>
    </row>
    <row r="22" spans="1:22" ht="18.75" customHeight="1" x14ac:dyDescent="0.3">
      <c r="A22" s="119"/>
      <c r="B22" s="139"/>
      <c r="C22" s="140"/>
      <c r="D22" s="143"/>
      <c r="E22" s="143"/>
      <c r="F22" s="146"/>
      <c r="G22" s="130"/>
      <c r="H22" s="131"/>
      <c r="I22" s="132"/>
      <c r="J22" s="132"/>
      <c r="K22" s="133"/>
      <c r="L22" s="4"/>
      <c r="M22" s="2"/>
      <c r="N22" s="2"/>
      <c r="V22" s="90" t="s">
        <v>125</v>
      </c>
    </row>
    <row r="23" spans="1:22" ht="18" customHeight="1" x14ac:dyDescent="0.3">
      <c r="A23" s="29">
        <v>8</v>
      </c>
      <c r="B23" s="126" t="s">
        <v>21</v>
      </c>
      <c r="C23" s="127"/>
      <c r="D23" s="28">
        <v>1</v>
      </c>
      <c r="E23" s="28">
        <v>1</v>
      </c>
      <c r="F23" s="7">
        <v>1</v>
      </c>
      <c r="G23" s="22">
        <f t="shared" si="0"/>
        <v>1</v>
      </c>
      <c r="H23" s="134"/>
      <c r="I23" s="134"/>
      <c r="J23" s="134"/>
      <c r="K23" s="134"/>
      <c r="M23" s="2"/>
      <c r="N23" s="2"/>
      <c r="V23" s="90" t="s">
        <v>126</v>
      </c>
    </row>
    <row r="24" spans="1:22" ht="18" customHeight="1" x14ac:dyDescent="0.3">
      <c r="A24" s="29">
        <v>9</v>
      </c>
      <c r="B24" s="126" t="s">
        <v>20</v>
      </c>
      <c r="C24" s="127"/>
      <c r="D24" s="28">
        <v>2</v>
      </c>
      <c r="E24" s="28">
        <v>2</v>
      </c>
      <c r="F24" s="7">
        <v>2</v>
      </c>
      <c r="G24" s="22">
        <f t="shared" si="0"/>
        <v>1</v>
      </c>
      <c r="H24" s="134"/>
      <c r="I24" s="134"/>
      <c r="J24" s="134"/>
      <c r="K24" s="134"/>
      <c r="M24" s="2"/>
      <c r="N24" s="2"/>
      <c r="V24" s="90" t="s">
        <v>127</v>
      </c>
    </row>
    <row r="25" spans="1:22" x14ac:dyDescent="0.3">
      <c r="A25" s="29">
        <v>10</v>
      </c>
      <c r="B25" s="124" t="s">
        <v>8</v>
      </c>
      <c r="C25" s="125"/>
      <c r="D25" s="28">
        <v>5</v>
      </c>
      <c r="E25" s="28">
        <v>5</v>
      </c>
      <c r="F25" s="7">
        <v>5</v>
      </c>
      <c r="G25" s="22">
        <f t="shared" si="0"/>
        <v>1</v>
      </c>
      <c r="H25" s="134"/>
      <c r="I25" s="134"/>
      <c r="J25" s="134"/>
      <c r="K25" s="134"/>
      <c r="M25" s="2"/>
      <c r="N25" s="2"/>
      <c r="V25" s="90" t="s">
        <v>128</v>
      </c>
    </row>
    <row r="26" spans="1:22" x14ac:dyDescent="0.3">
      <c r="A26" s="29">
        <v>11</v>
      </c>
      <c r="B26" s="122" t="s">
        <v>131</v>
      </c>
      <c r="C26" s="123"/>
      <c r="D26" s="28">
        <v>2</v>
      </c>
      <c r="E26" s="28">
        <v>2</v>
      </c>
      <c r="F26" s="7">
        <v>2</v>
      </c>
      <c r="G26" s="22">
        <f t="shared" si="0"/>
        <v>1</v>
      </c>
      <c r="H26" s="175"/>
      <c r="I26" s="176"/>
      <c r="J26" s="176"/>
      <c r="K26" s="177"/>
      <c r="M26" s="2"/>
      <c r="N26" s="2"/>
      <c r="V26" s="90" t="s">
        <v>129</v>
      </c>
    </row>
    <row r="27" spans="1:22" ht="18" customHeight="1" x14ac:dyDescent="0.3">
      <c r="A27" s="29">
        <v>12</v>
      </c>
      <c r="B27" s="120" t="s">
        <v>60</v>
      </c>
      <c r="C27" s="121"/>
      <c r="D27" s="28">
        <v>1</v>
      </c>
      <c r="E27" s="28">
        <v>1</v>
      </c>
      <c r="F27" s="7">
        <v>1</v>
      </c>
      <c r="G27" s="22">
        <f t="shared" si="0"/>
        <v>1</v>
      </c>
      <c r="H27" s="134"/>
      <c r="I27" s="134"/>
      <c r="J27" s="134"/>
      <c r="K27" s="134"/>
      <c r="M27" s="2"/>
      <c r="N27" s="2"/>
      <c r="V27" s="90" t="s">
        <v>130</v>
      </c>
    </row>
    <row r="28" spans="1:22" ht="18" customHeight="1" x14ac:dyDescent="0.3">
      <c r="A28" s="29">
        <v>13</v>
      </c>
      <c r="B28" s="126" t="s">
        <v>56</v>
      </c>
      <c r="C28" s="127"/>
      <c r="D28" s="28">
        <v>1</v>
      </c>
      <c r="E28" s="28">
        <v>1</v>
      </c>
      <c r="F28" s="7">
        <v>1</v>
      </c>
      <c r="G28" s="22">
        <f t="shared" si="0"/>
        <v>1</v>
      </c>
      <c r="H28" s="175"/>
      <c r="I28" s="176"/>
      <c r="J28" s="176"/>
      <c r="K28" s="177"/>
      <c r="M28" s="2"/>
      <c r="N28" s="2"/>
    </row>
    <row r="29" spans="1:22" ht="18" customHeight="1" x14ac:dyDescent="0.3">
      <c r="A29" s="29">
        <v>14</v>
      </c>
      <c r="B29" s="167" t="s">
        <v>70</v>
      </c>
      <c r="C29" s="168"/>
      <c r="D29" s="91">
        <v>3</v>
      </c>
      <c r="E29" s="28">
        <v>3</v>
      </c>
      <c r="F29" s="7">
        <v>3</v>
      </c>
      <c r="G29" s="22">
        <f t="shared" si="0"/>
        <v>1</v>
      </c>
      <c r="H29" s="83"/>
      <c r="I29" s="84"/>
      <c r="J29" s="84"/>
      <c r="K29" s="85"/>
      <c r="M29" s="2"/>
      <c r="N29" s="2"/>
    </row>
    <row r="30" spans="1:22" ht="18" customHeight="1" x14ac:dyDescent="0.3">
      <c r="A30" s="169" t="s">
        <v>133</v>
      </c>
      <c r="B30" s="170"/>
      <c r="C30" s="170"/>
      <c r="D30" s="170"/>
      <c r="E30" s="170"/>
      <c r="F30" s="171"/>
      <c r="G30" s="172">
        <f>IFERROR(AVERAGE(G10:G29),"-")</f>
        <v>1</v>
      </c>
      <c r="H30" s="173"/>
      <c r="I30" s="173"/>
      <c r="J30" s="173"/>
      <c r="K30" s="174"/>
    </row>
    <row r="31" spans="1:22" ht="17.25" customHeight="1" x14ac:dyDescent="0.3">
      <c r="A31" s="190" t="s">
        <v>59</v>
      </c>
      <c r="B31" s="191"/>
      <c r="C31" s="188" t="s">
        <v>161</v>
      </c>
      <c r="D31" s="189"/>
      <c r="E31" s="38"/>
      <c r="F31" s="38"/>
      <c r="G31" s="24"/>
      <c r="H31" s="25"/>
      <c r="I31" s="26"/>
      <c r="J31" s="25"/>
    </row>
    <row r="32" spans="1:22" ht="28.5" customHeight="1" x14ac:dyDescent="0.3">
      <c r="A32" s="186" t="s">
        <v>61</v>
      </c>
      <c r="B32" s="187"/>
      <c r="C32" s="184" t="s">
        <v>85</v>
      </c>
      <c r="D32" s="185"/>
      <c r="E32" s="39"/>
      <c r="F32" s="39"/>
      <c r="G32" s="27"/>
      <c r="H32" s="26"/>
      <c r="I32" s="26"/>
      <c r="J32" s="25"/>
    </row>
    <row r="33" spans="1:16" x14ac:dyDescent="0.3">
      <c r="A33" s="40"/>
      <c r="B33" s="40"/>
      <c r="C33" s="41"/>
      <c r="D33" s="41"/>
      <c r="E33" s="39"/>
      <c r="F33" s="39"/>
      <c r="G33" s="27"/>
      <c r="H33" s="26"/>
      <c r="I33" s="26"/>
      <c r="J33" s="25"/>
    </row>
    <row r="34" spans="1:16" ht="20.100000000000001" customHeight="1" x14ac:dyDescent="0.3">
      <c r="A34" s="178" t="s">
        <v>58</v>
      </c>
      <c r="B34" s="179"/>
      <c r="C34" s="179"/>
      <c r="D34" s="179"/>
      <c r="E34" s="179"/>
      <c r="F34" s="179"/>
      <c r="G34" s="179"/>
      <c r="H34" s="179"/>
      <c r="I34" s="179"/>
      <c r="J34" s="179"/>
      <c r="K34" s="180"/>
    </row>
    <row r="35" spans="1:16" ht="20.100000000000001" customHeight="1" x14ac:dyDescent="0.3">
      <c r="A35" s="181"/>
      <c r="B35" s="182"/>
      <c r="C35" s="182"/>
      <c r="D35" s="182"/>
      <c r="E35" s="182"/>
      <c r="F35" s="182"/>
      <c r="G35" s="182"/>
      <c r="H35" s="182"/>
      <c r="I35" s="182"/>
      <c r="J35" s="182"/>
      <c r="K35" s="183"/>
    </row>
    <row r="36" spans="1:16" ht="20.100000000000001" customHeight="1" x14ac:dyDescent="0.3"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x14ac:dyDescent="0.3">
      <c r="K39" s="5"/>
      <c r="L39" s="5" t="s">
        <v>17</v>
      </c>
      <c r="M39" s="21" t="s">
        <v>54</v>
      </c>
      <c r="N39" s="21" t="s">
        <v>53</v>
      </c>
      <c r="O39" s="42" t="s">
        <v>34</v>
      </c>
    </row>
    <row r="40" spans="1:16" ht="15.6" x14ac:dyDescent="0.3">
      <c r="K40" s="1"/>
      <c r="L40" s="8" t="s">
        <v>18</v>
      </c>
      <c r="M40" s="6">
        <v>0</v>
      </c>
      <c r="N40" s="44" t="s">
        <v>18</v>
      </c>
      <c r="O40" s="6" t="s">
        <v>35</v>
      </c>
      <c r="P40" s="10"/>
    </row>
    <row r="41" spans="1:16" x14ac:dyDescent="0.3">
      <c r="K41" s="1"/>
      <c r="L41" s="43" t="s">
        <v>19</v>
      </c>
      <c r="M41" s="15">
        <v>1</v>
      </c>
      <c r="N41" s="43" t="s">
        <v>19</v>
      </c>
      <c r="O41" s="6" t="s">
        <v>36</v>
      </c>
    </row>
    <row r="42" spans="1:16" x14ac:dyDescent="0.3">
      <c r="K42" s="1"/>
      <c r="M42" s="16">
        <v>2</v>
      </c>
      <c r="N42" s="16"/>
      <c r="O42" s="6" t="s">
        <v>37</v>
      </c>
    </row>
    <row r="43" spans="1:16" x14ac:dyDescent="0.3">
      <c r="K43" s="1"/>
      <c r="M43" s="16">
        <v>3</v>
      </c>
      <c r="N43" s="16"/>
      <c r="O43" s="6" t="s">
        <v>38</v>
      </c>
    </row>
    <row r="44" spans="1:16" x14ac:dyDescent="0.3">
      <c r="K44" s="1"/>
      <c r="L44" s="1"/>
      <c r="M44" s="16">
        <v>4</v>
      </c>
      <c r="N44" s="15"/>
      <c r="O44" s="6" t="s">
        <v>39</v>
      </c>
    </row>
    <row r="45" spans="1:16" x14ac:dyDescent="0.3">
      <c r="K45" s="1"/>
      <c r="L45" s="1"/>
      <c r="M45" s="15">
        <v>5</v>
      </c>
      <c r="N45" s="15"/>
      <c r="O45" s="6" t="s">
        <v>40</v>
      </c>
    </row>
    <row r="46" spans="1:16" x14ac:dyDescent="0.3">
      <c r="K46" s="1"/>
      <c r="L46" s="1"/>
      <c r="M46" s="15">
        <v>6</v>
      </c>
      <c r="N46" s="15"/>
      <c r="O46" s="6" t="s">
        <v>41</v>
      </c>
    </row>
    <row r="47" spans="1:16" x14ac:dyDescent="0.3">
      <c r="K47" s="1"/>
      <c r="L47" s="1"/>
      <c r="M47" s="15">
        <v>7</v>
      </c>
      <c r="N47" s="15"/>
      <c r="O47" s="6" t="s">
        <v>42</v>
      </c>
    </row>
    <row r="48" spans="1:16" x14ac:dyDescent="0.3">
      <c r="E48" s="2"/>
      <c r="F48" s="2"/>
      <c r="G48" s="2"/>
      <c r="K48" s="1"/>
      <c r="L48" s="1"/>
      <c r="M48" s="15">
        <v>8</v>
      </c>
      <c r="N48" s="15"/>
      <c r="O48" s="6" t="s">
        <v>43</v>
      </c>
    </row>
    <row r="49" spans="5:15" x14ac:dyDescent="0.3">
      <c r="E49" s="2"/>
      <c r="F49" s="2"/>
      <c r="G49" s="2"/>
      <c r="K49" s="1"/>
      <c r="L49" s="1"/>
      <c r="M49" s="15">
        <v>9</v>
      </c>
      <c r="N49" s="15"/>
      <c r="O49" s="6" t="s">
        <v>44</v>
      </c>
    </row>
    <row r="50" spans="5:15" x14ac:dyDescent="0.3">
      <c r="E50" s="2"/>
      <c r="F50" s="2"/>
      <c r="G50" s="2"/>
      <c r="K50" s="1"/>
      <c r="L50" s="1"/>
      <c r="M50" s="15">
        <v>10</v>
      </c>
      <c r="N50" s="15"/>
      <c r="O50" s="6" t="s">
        <v>45</v>
      </c>
    </row>
    <row r="51" spans="5:15" x14ac:dyDescent="0.3">
      <c r="E51" s="2"/>
      <c r="F51" s="2"/>
      <c r="G51" s="2"/>
      <c r="K51" s="1"/>
      <c r="L51" s="1"/>
      <c r="M51" s="15">
        <v>11</v>
      </c>
      <c r="N51" s="15"/>
      <c r="O51" s="6" t="s">
        <v>46</v>
      </c>
    </row>
    <row r="52" spans="5:15" x14ac:dyDescent="0.3">
      <c r="E52" s="2"/>
      <c r="F52" s="2"/>
      <c r="G52" s="2"/>
      <c r="K52" s="1"/>
      <c r="L52" s="1"/>
      <c r="M52" s="15">
        <v>12</v>
      </c>
      <c r="N52" s="15"/>
      <c r="O52" s="6"/>
    </row>
    <row r="53" spans="5:15" x14ac:dyDescent="0.3">
      <c r="E53" s="2"/>
      <c r="F53" s="2"/>
      <c r="G53" s="2"/>
      <c r="K53" s="1"/>
      <c r="L53" s="1"/>
      <c r="M53" s="15">
        <v>13</v>
      </c>
      <c r="N53" s="15"/>
      <c r="O53" s="6"/>
    </row>
    <row r="54" spans="5:15" x14ac:dyDescent="0.3">
      <c r="E54" s="2"/>
      <c r="F54" s="2"/>
      <c r="G54" s="2"/>
      <c r="K54" s="1"/>
      <c r="L54" s="1"/>
      <c r="M54" s="15">
        <v>14</v>
      </c>
      <c r="N54" s="15"/>
      <c r="O54" s="6"/>
    </row>
    <row r="55" spans="5:15" x14ac:dyDescent="0.3">
      <c r="E55" s="2"/>
      <c r="F55" s="2"/>
      <c r="G55" s="2"/>
      <c r="K55" s="1"/>
      <c r="M55" s="15">
        <v>15</v>
      </c>
      <c r="O55" s="6"/>
    </row>
    <row r="56" spans="5:15" x14ac:dyDescent="0.3">
      <c r="K56" s="1"/>
    </row>
    <row r="57" spans="5:15" x14ac:dyDescent="0.3">
      <c r="K57" s="1"/>
    </row>
    <row r="58" spans="5:15" x14ac:dyDescent="0.3">
      <c r="K58" s="1"/>
    </row>
    <row r="59" spans="5:15" x14ac:dyDescent="0.3">
      <c r="K59" s="1"/>
    </row>
    <row r="60" spans="5:15" x14ac:dyDescent="0.3">
      <c r="K60" s="1" t="str">
        <f>IF(MAESTRO!A21="","",MAESTRO!A21)</f>
        <v/>
      </c>
    </row>
  </sheetData>
  <sheetProtection selectLockedCells="1"/>
  <dataConsolidate/>
  <mergeCells count="48">
    <mergeCell ref="B29:C29"/>
    <mergeCell ref="A30:F30"/>
    <mergeCell ref="G30:K30"/>
    <mergeCell ref="H26:K26"/>
    <mergeCell ref="A34:K35"/>
    <mergeCell ref="C32:D32"/>
    <mergeCell ref="A32:B32"/>
    <mergeCell ref="C31:D31"/>
    <mergeCell ref="A31:B31"/>
    <mergeCell ref="H27:K27"/>
    <mergeCell ref="B28:C28"/>
    <mergeCell ref="H28:K28"/>
    <mergeCell ref="H10:K10"/>
    <mergeCell ref="H11:K11"/>
    <mergeCell ref="H12:K12"/>
    <mergeCell ref="H13:K13"/>
    <mergeCell ref="H14:K14"/>
    <mergeCell ref="A7:K7"/>
    <mergeCell ref="H8:K8"/>
    <mergeCell ref="H9:K9"/>
    <mergeCell ref="A1:B3"/>
    <mergeCell ref="C5:G5"/>
    <mergeCell ref="I5:J5"/>
    <mergeCell ref="J1:K1"/>
    <mergeCell ref="J3:K3"/>
    <mergeCell ref="C1:H3"/>
    <mergeCell ref="B8:C8"/>
    <mergeCell ref="B9:C9"/>
    <mergeCell ref="G15:G22"/>
    <mergeCell ref="H22:K22"/>
    <mergeCell ref="B24:C24"/>
    <mergeCell ref="B23:C23"/>
    <mergeCell ref="B25:C25"/>
    <mergeCell ref="H25:K25"/>
    <mergeCell ref="H23:K23"/>
    <mergeCell ref="H24:K24"/>
    <mergeCell ref="B15:C22"/>
    <mergeCell ref="D15:D22"/>
    <mergeCell ref="E15:E22"/>
    <mergeCell ref="F15:F22"/>
    <mergeCell ref="A15:A22"/>
    <mergeCell ref="B27:C27"/>
    <mergeCell ref="B26:C26"/>
    <mergeCell ref="B10:C10"/>
    <mergeCell ref="B11:C11"/>
    <mergeCell ref="B12:C12"/>
    <mergeCell ref="B13:C13"/>
    <mergeCell ref="B14:C14"/>
  </mergeCells>
  <dataValidations disablePrompts="1" count="4">
    <dataValidation type="list" allowBlank="1" showInputMessage="1" showErrorMessage="1" sqref="D11:D14 D23:D28" xr:uid="{00000000-0002-0000-0000-000000000000}">
      <formula1>$M$33:$M$49</formula1>
    </dataValidation>
    <dataValidation type="list" allowBlank="1" showInputMessage="1" showErrorMessage="1" sqref="D9:D10" xr:uid="{00000000-0002-0000-0000-000001000000}">
      <formula1>$M$33:$M$48</formula1>
    </dataValidation>
    <dataValidation type="list" allowBlank="1" showInputMessage="1" showErrorMessage="1" sqref="D15 E9:F15 E23:F29" xr:uid="{00000000-0002-0000-0000-000002000000}">
      <formula1>$M$41:$M$55</formula1>
    </dataValidation>
    <dataValidation type="list" allowBlank="1" showInputMessage="1" showErrorMessage="1" sqref="C5:G5" xr:uid="{00000000-0002-0000-0000-000003000000}">
      <formula1>$V$9:$V$27</formula1>
    </dataValidation>
  </dataValidations>
  <pageMargins left="0.39370078740157483" right="0.39370078740157483" top="0.59055118110236227" bottom="0.59055118110236227" header="0.31496062992125984" footer="0.31496062992125984"/>
  <pageSetup scale="69" orientation="portrait" r:id="rId1"/>
  <headerFooter>
    <oddFooter>&amp;RPág. &amp;P -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U60"/>
  <sheetViews>
    <sheetView view="pageBreakPreview" topLeftCell="A13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30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.33203125" style="2" bestFit="1" customWidth="1" collapsed="1"/>
    <col min="12" max="12" width="14.44140625" style="2" hidden="1" customWidth="1" collapsed="1"/>
    <col min="13" max="14" width="11.44140625" style="6" hidden="1" customWidth="1" collapsed="1"/>
    <col min="15" max="15" width="11.44140625" style="2" hidden="1" customWidth="1" collapsed="1"/>
    <col min="16" max="16" width="11.44140625" style="2" customWidth="1" collapsed="1"/>
    <col min="17" max="20" width="11.44140625" style="2" collapsed="1"/>
    <col min="21" max="21" width="12.88671875" style="2" hidden="1" customWidth="1" collapsed="1"/>
    <col min="22" max="25" width="0" style="2" hidden="1" customWidth="1" collapsed="1"/>
    <col min="26" max="16384" width="11.44140625" style="2" collapsed="1"/>
  </cols>
  <sheetData>
    <row r="1" spans="1:21" ht="15" customHeight="1" x14ac:dyDescent="0.3">
      <c r="A1" s="149"/>
      <c r="B1" s="149"/>
      <c r="C1" s="156" t="s">
        <v>16</v>
      </c>
      <c r="D1" s="157"/>
      <c r="E1" s="157"/>
      <c r="F1" s="157"/>
      <c r="G1" s="157"/>
      <c r="H1" s="158"/>
      <c r="I1" s="30" t="s">
        <v>25</v>
      </c>
      <c r="J1" s="205" t="s">
        <v>49</v>
      </c>
      <c r="K1" s="205"/>
    </row>
    <row r="2" spans="1:21" ht="20.2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21" x14ac:dyDescent="0.3">
      <c r="A3" s="149"/>
      <c r="B3" s="149"/>
      <c r="C3" s="162"/>
      <c r="D3" s="163"/>
      <c r="E3" s="163"/>
      <c r="F3" s="163"/>
      <c r="G3" s="163"/>
      <c r="H3" s="164"/>
      <c r="I3" s="30" t="s">
        <v>27</v>
      </c>
      <c r="J3" s="154">
        <v>42286</v>
      </c>
      <c r="K3" s="155"/>
    </row>
    <row r="4" spans="1:21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21" ht="15.75" customHeight="1" x14ac:dyDescent="0.3">
      <c r="A5" s="3"/>
      <c r="B5" s="13" t="s">
        <v>32</v>
      </c>
      <c r="C5" s="150" t="s">
        <v>48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21" ht="15.75" customHeight="1" x14ac:dyDescent="0.3">
      <c r="A6" s="18"/>
      <c r="E6" s="19"/>
      <c r="F6" s="19"/>
      <c r="G6" s="11"/>
    </row>
    <row r="7" spans="1:21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21" ht="28.8" x14ac:dyDescent="0.3">
      <c r="A8" s="48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21" ht="18" customHeight="1" x14ac:dyDescent="0.3">
      <c r="A9" s="29">
        <v>1</v>
      </c>
      <c r="B9" s="124" t="s">
        <v>29</v>
      </c>
      <c r="C9" s="125"/>
      <c r="D9" s="28">
        <v>4</v>
      </c>
      <c r="E9" s="7">
        <v>4</v>
      </c>
      <c r="F9" s="7">
        <v>4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  <c r="U9" s="90" t="s">
        <v>2</v>
      </c>
    </row>
    <row r="10" spans="1:21" ht="18" customHeight="1" x14ac:dyDescent="0.3">
      <c r="A10" s="29">
        <v>2</v>
      </c>
      <c r="B10" s="124" t="s">
        <v>28</v>
      </c>
      <c r="C10" s="125"/>
      <c r="D10" s="28">
        <v>4</v>
      </c>
      <c r="E10" s="7">
        <v>4</v>
      </c>
      <c r="F10" s="7">
        <v>4</v>
      </c>
      <c r="G10" s="22">
        <f t="shared" ref="G10:G29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U10" s="90" t="s">
        <v>48</v>
      </c>
    </row>
    <row r="11" spans="1:21" ht="18" customHeight="1" x14ac:dyDescent="0.3">
      <c r="A11" s="29">
        <v>3</v>
      </c>
      <c r="B11" s="124" t="s">
        <v>31</v>
      </c>
      <c r="C11" s="125"/>
      <c r="D11" s="28">
        <v>4</v>
      </c>
      <c r="E11" s="7">
        <v>4</v>
      </c>
      <c r="F11" s="7">
        <v>4</v>
      </c>
      <c r="G11" s="22">
        <f t="shared" si="0"/>
        <v>1</v>
      </c>
      <c r="H11" s="134"/>
      <c r="I11" s="134"/>
      <c r="J11" s="134"/>
      <c r="K11" s="134"/>
      <c r="U11" s="90" t="s">
        <v>121</v>
      </c>
    </row>
    <row r="12" spans="1:21" ht="18" customHeight="1" x14ac:dyDescent="0.3">
      <c r="A12" s="29">
        <v>4</v>
      </c>
      <c r="B12" s="124" t="s">
        <v>30</v>
      </c>
      <c r="C12" s="125"/>
      <c r="D12" s="28">
        <v>4</v>
      </c>
      <c r="E12" s="7">
        <v>4</v>
      </c>
      <c r="F12" s="7">
        <v>4</v>
      </c>
      <c r="G12" s="22">
        <f t="shared" si="0"/>
        <v>1</v>
      </c>
      <c r="H12" s="134"/>
      <c r="I12" s="134"/>
      <c r="J12" s="134"/>
      <c r="K12" s="134"/>
      <c r="U12" s="90" t="s">
        <v>13</v>
      </c>
    </row>
    <row r="13" spans="1:21" ht="18" customHeight="1" x14ac:dyDescent="0.3">
      <c r="A13" s="29">
        <v>5</v>
      </c>
      <c r="B13" s="124" t="s">
        <v>22</v>
      </c>
      <c r="C13" s="125"/>
      <c r="D13" s="28">
        <v>4</v>
      </c>
      <c r="E13" s="7">
        <v>4</v>
      </c>
      <c r="F13" s="7">
        <v>4</v>
      </c>
      <c r="G13" s="22">
        <f t="shared" si="0"/>
        <v>1</v>
      </c>
      <c r="H13" s="134"/>
      <c r="I13" s="134"/>
      <c r="J13" s="134"/>
      <c r="K13" s="134"/>
      <c r="U13" s="90" t="s">
        <v>47</v>
      </c>
    </row>
    <row r="14" spans="1:21" ht="18" customHeight="1" x14ac:dyDescent="0.3">
      <c r="A14" s="29">
        <v>6</v>
      </c>
      <c r="B14" s="126" t="s">
        <v>55</v>
      </c>
      <c r="C14" s="127"/>
      <c r="D14" s="28">
        <v>1</v>
      </c>
      <c r="E14" s="7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U14" s="90" t="s">
        <v>12</v>
      </c>
    </row>
    <row r="15" spans="1:21" ht="18" customHeight="1" x14ac:dyDescent="0.3">
      <c r="A15" s="117">
        <v>7</v>
      </c>
      <c r="B15" s="135" t="s">
        <v>24</v>
      </c>
      <c r="C15" s="136"/>
      <c r="D15" s="141">
        <v>3</v>
      </c>
      <c r="E15" s="144">
        <v>3</v>
      </c>
      <c r="F15" s="144">
        <v>3</v>
      </c>
      <c r="G15" s="128">
        <f>IF(D15="","",IF(D15=0,"-",IF(F15&gt;D15,"ERROR",IF(E15&gt;D15,"ERROR",IF(E15&lt;D15,0,IF(E15&gt;F15,0,IF(F15=D15,1,0)))))))</f>
        <v>1</v>
      </c>
      <c r="H15" s="51" t="s">
        <v>63</v>
      </c>
      <c r="I15" s="46"/>
      <c r="J15" s="51" t="s">
        <v>62</v>
      </c>
      <c r="K15" s="46"/>
      <c r="U15" s="90" t="s">
        <v>122</v>
      </c>
    </row>
    <row r="16" spans="1:21" ht="18" customHeight="1" x14ac:dyDescent="0.3">
      <c r="A16" s="118"/>
      <c r="B16" s="137"/>
      <c r="C16" s="138"/>
      <c r="D16" s="142"/>
      <c r="E16" s="145"/>
      <c r="F16" s="145"/>
      <c r="G16" s="129"/>
      <c r="H16" s="51" t="s">
        <v>64</v>
      </c>
      <c r="I16" s="62"/>
      <c r="J16" s="51" t="s">
        <v>62</v>
      </c>
      <c r="K16" s="46"/>
      <c r="M16" s="2"/>
      <c r="N16" s="2"/>
      <c r="U16" s="90" t="s">
        <v>123</v>
      </c>
    </row>
    <row r="17" spans="1:21" ht="18" customHeight="1" x14ac:dyDescent="0.3">
      <c r="A17" s="118"/>
      <c r="B17" s="137"/>
      <c r="C17" s="138"/>
      <c r="D17" s="142"/>
      <c r="E17" s="145"/>
      <c r="F17" s="145"/>
      <c r="G17" s="129"/>
      <c r="H17" s="51" t="s">
        <v>65</v>
      </c>
      <c r="I17" s="62"/>
      <c r="J17" s="51" t="s">
        <v>62</v>
      </c>
      <c r="K17" s="46"/>
      <c r="M17" s="2"/>
      <c r="N17" s="2"/>
      <c r="U17" s="90" t="s">
        <v>14</v>
      </c>
    </row>
    <row r="18" spans="1:21" ht="18" customHeight="1" x14ac:dyDescent="0.3">
      <c r="A18" s="118"/>
      <c r="B18" s="137"/>
      <c r="C18" s="138"/>
      <c r="D18" s="142"/>
      <c r="E18" s="145"/>
      <c r="F18" s="145"/>
      <c r="G18" s="129"/>
      <c r="H18" s="51" t="s">
        <v>66</v>
      </c>
      <c r="I18" s="62"/>
      <c r="J18" s="51" t="s">
        <v>62</v>
      </c>
      <c r="K18" s="46"/>
      <c r="M18" s="2"/>
      <c r="N18" s="2"/>
      <c r="U18" s="90" t="s">
        <v>6</v>
      </c>
    </row>
    <row r="19" spans="1:21" ht="18" customHeight="1" x14ac:dyDescent="0.3">
      <c r="A19" s="118"/>
      <c r="B19" s="137"/>
      <c r="C19" s="138"/>
      <c r="D19" s="142"/>
      <c r="E19" s="145"/>
      <c r="F19" s="145"/>
      <c r="G19" s="129"/>
      <c r="H19" s="51" t="s">
        <v>67</v>
      </c>
      <c r="I19" s="46"/>
      <c r="J19" s="51" t="s">
        <v>62</v>
      </c>
      <c r="K19" s="46"/>
      <c r="M19" s="2"/>
      <c r="N19" s="2"/>
      <c r="U19" s="90" t="s">
        <v>78</v>
      </c>
    </row>
    <row r="20" spans="1:21" ht="18" customHeight="1" x14ac:dyDescent="0.3">
      <c r="A20" s="118"/>
      <c r="B20" s="137"/>
      <c r="C20" s="138"/>
      <c r="D20" s="142"/>
      <c r="E20" s="145"/>
      <c r="F20" s="145"/>
      <c r="G20" s="129"/>
      <c r="H20" s="51" t="s">
        <v>68</v>
      </c>
      <c r="I20" s="45"/>
      <c r="J20" s="51" t="s">
        <v>62</v>
      </c>
      <c r="K20" s="46"/>
      <c r="M20" s="2"/>
      <c r="N20" s="2"/>
      <c r="U20" s="90" t="s">
        <v>7</v>
      </c>
    </row>
    <row r="21" spans="1:21" ht="18.75" customHeight="1" x14ac:dyDescent="0.3">
      <c r="A21" s="118"/>
      <c r="B21" s="137"/>
      <c r="C21" s="138"/>
      <c r="D21" s="142"/>
      <c r="E21" s="145"/>
      <c r="F21" s="145"/>
      <c r="G21" s="129"/>
      <c r="H21" s="51" t="s">
        <v>69</v>
      </c>
      <c r="I21" s="45"/>
      <c r="J21" s="51" t="s">
        <v>62</v>
      </c>
      <c r="K21" s="46"/>
      <c r="L21" s="4"/>
      <c r="M21" s="2"/>
      <c r="N21" s="2"/>
      <c r="U21" s="90" t="s">
        <v>124</v>
      </c>
    </row>
    <row r="22" spans="1:21" ht="18.75" customHeight="1" x14ac:dyDescent="0.3">
      <c r="A22" s="119"/>
      <c r="B22" s="139"/>
      <c r="C22" s="140"/>
      <c r="D22" s="143"/>
      <c r="E22" s="146"/>
      <c r="F22" s="146"/>
      <c r="G22" s="130"/>
      <c r="H22" s="131"/>
      <c r="I22" s="132"/>
      <c r="J22" s="132"/>
      <c r="K22" s="133"/>
      <c r="L22" s="4"/>
      <c r="M22" s="2"/>
      <c r="N22" s="2"/>
      <c r="U22" s="90" t="s">
        <v>125</v>
      </c>
    </row>
    <row r="23" spans="1:21" ht="18" customHeight="1" x14ac:dyDescent="0.3">
      <c r="A23" s="29">
        <v>8</v>
      </c>
      <c r="B23" s="126" t="s">
        <v>21</v>
      </c>
      <c r="C23" s="127"/>
      <c r="D23" s="28">
        <v>1</v>
      </c>
      <c r="E23" s="7">
        <v>1</v>
      </c>
      <c r="F23" s="7">
        <v>1</v>
      </c>
      <c r="G23" s="22">
        <f t="shared" si="0"/>
        <v>1</v>
      </c>
      <c r="H23" s="134"/>
      <c r="I23" s="134"/>
      <c r="J23" s="134"/>
      <c r="K23" s="134"/>
      <c r="M23" s="2"/>
      <c r="N23" s="2"/>
      <c r="U23" s="90" t="s">
        <v>126</v>
      </c>
    </row>
    <row r="24" spans="1:21" ht="18" customHeight="1" x14ac:dyDescent="0.3">
      <c r="A24" s="29">
        <v>9</v>
      </c>
      <c r="B24" s="126" t="s">
        <v>20</v>
      </c>
      <c r="C24" s="127"/>
      <c r="D24" s="28">
        <v>1</v>
      </c>
      <c r="E24" s="7">
        <v>1</v>
      </c>
      <c r="F24" s="7">
        <v>1</v>
      </c>
      <c r="G24" s="22">
        <f t="shared" si="0"/>
        <v>1</v>
      </c>
      <c r="H24" s="134"/>
      <c r="I24" s="134"/>
      <c r="J24" s="134"/>
      <c r="K24" s="134"/>
      <c r="M24" s="2"/>
      <c r="N24" s="2"/>
      <c r="U24" s="90" t="s">
        <v>127</v>
      </c>
    </row>
    <row r="25" spans="1:21" ht="18" customHeight="1" x14ac:dyDescent="0.3">
      <c r="A25" s="29">
        <v>10</v>
      </c>
      <c r="B25" s="124" t="s">
        <v>8</v>
      </c>
      <c r="C25" s="125"/>
      <c r="D25" s="28">
        <v>4</v>
      </c>
      <c r="E25" s="7">
        <v>4</v>
      </c>
      <c r="F25" s="7">
        <v>4</v>
      </c>
      <c r="G25" s="22">
        <f t="shared" si="0"/>
        <v>1</v>
      </c>
      <c r="H25" s="134"/>
      <c r="I25" s="134"/>
      <c r="J25" s="134"/>
      <c r="K25" s="134"/>
      <c r="M25" s="2"/>
      <c r="N25" s="2"/>
      <c r="U25" s="90" t="s">
        <v>128</v>
      </c>
    </row>
    <row r="26" spans="1:21" ht="18" customHeight="1" x14ac:dyDescent="0.3">
      <c r="A26" s="29">
        <v>11</v>
      </c>
      <c r="B26" s="122" t="s">
        <v>132</v>
      </c>
      <c r="C26" s="123"/>
      <c r="D26" s="28">
        <v>2</v>
      </c>
      <c r="E26" s="28">
        <v>2</v>
      </c>
      <c r="F26" s="28">
        <v>2</v>
      </c>
      <c r="G26" s="22">
        <f t="shared" si="0"/>
        <v>1</v>
      </c>
      <c r="H26" s="175"/>
      <c r="I26" s="176"/>
      <c r="J26" s="176"/>
      <c r="K26" s="177"/>
      <c r="M26" s="2"/>
      <c r="N26" s="2"/>
      <c r="U26" s="90" t="s">
        <v>129</v>
      </c>
    </row>
    <row r="27" spans="1:21" ht="18" customHeight="1" x14ac:dyDescent="0.3">
      <c r="A27" s="29">
        <v>12</v>
      </c>
      <c r="B27" s="120" t="s">
        <v>60</v>
      </c>
      <c r="C27" s="121"/>
      <c r="D27" s="28">
        <v>1</v>
      </c>
      <c r="E27" s="7">
        <v>1</v>
      </c>
      <c r="F27" s="7">
        <v>1</v>
      </c>
      <c r="G27" s="22">
        <f t="shared" si="0"/>
        <v>1</v>
      </c>
      <c r="H27" s="134"/>
      <c r="I27" s="134"/>
      <c r="J27" s="134"/>
      <c r="K27" s="134"/>
      <c r="U27" s="90" t="s">
        <v>130</v>
      </c>
    </row>
    <row r="28" spans="1:21" ht="18" customHeight="1" x14ac:dyDescent="0.3">
      <c r="A28" s="29">
        <v>13</v>
      </c>
      <c r="B28" s="195" t="s">
        <v>56</v>
      </c>
      <c r="C28" s="196"/>
      <c r="D28" s="47">
        <v>1</v>
      </c>
      <c r="E28" s="7">
        <v>1</v>
      </c>
      <c r="F28" s="7">
        <v>1</v>
      </c>
      <c r="G28" s="49">
        <f t="shared" si="0"/>
        <v>1</v>
      </c>
      <c r="H28" s="197"/>
      <c r="I28" s="197"/>
      <c r="J28" s="197"/>
      <c r="K28" s="197"/>
    </row>
    <row r="29" spans="1:21" ht="18" customHeight="1" thickBot="1" x14ac:dyDescent="0.35">
      <c r="A29" s="29">
        <v>14</v>
      </c>
      <c r="B29" s="203" t="s">
        <v>70</v>
      </c>
      <c r="C29" s="204"/>
      <c r="D29" s="28">
        <v>3</v>
      </c>
      <c r="E29" s="7">
        <v>3</v>
      </c>
      <c r="F29" s="7">
        <v>3</v>
      </c>
      <c r="G29" s="22">
        <f t="shared" si="0"/>
        <v>1</v>
      </c>
      <c r="H29" s="134"/>
      <c r="I29" s="134"/>
      <c r="J29" s="134"/>
      <c r="K29" s="134"/>
    </row>
    <row r="30" spans="1:21" ht="19.5" customHeight="1" thickBot="1" x14ac:dyDescent="0.35">
      <c r="A30" s="198" t="s">
        <v>57</v>
      </c>
      <c r="B30" s="199"/>
      <c r="C30" s="199"/>
      <c r="D30" s="199"/>
      <c r="E30" s="199"/>
      <c r="F30" s="199"/>
      <c r="G30" s="200">
        <f>IFERROR(AVERAGE(G10:G29),"-")</f>
        <v>1</v>
      </c>
      <c r="H30" s="201"/>
      <c r="I30" s="201"/>
      <c r="J30" s="201"/>
      <c r="K30" s="202"/>
    </row>
    <row r="31" spans="1:21" ht="28.5" customHeight="1" x14ac:dyDescent="0.3">
      <c r="A31" s="193" t="s">
        <v>59</v>
      </c>
      <c r="B31" s="193"/>
      <c r="C31" s="194" t="s">
        <v>147</v>
      </c>
      <c r="D31" s="194"/>
      <c r="E31" s="38"/>
      <c r="F31" s="38"/>
      <c r="G31" s="24"/>
      <c r="H31" s="25"/>
      <c r="I31" s="26"/>
      <c r="J31" s="25"/>
    </row>
    <row r="32" spans="1:21" x14ac:dyDescent="0.3">
      <c r="A32" s="193" t="s">
        <v>61</v>
      </c>
      <c r="B32" s="193"/>
      <c r="C32" s="184" t="s">
        <v>88</v>
      </c>
      <c r="D32" s="185"/>
      <c r="E32" s="39"/>
      <c r="F32" s="39"/>
      <c r="G32" s="27"/>
      <c r="H32" s="26"/>
      <c r="I32" s="26"/>
      <c r="J32" s="25"/>
    </row>
    <row r="33" spans="1:16" x14ac:dyDescent="0.3">
      <c r="A33" s="40"/>
      <c r="B33" s="40"/>
      <c r="C33" s="41"/>
      <c r="D33" s="41"/>
      <c r="E33" s="39"/>
      <c r="F33" s="39"/>
      <c r="G33" s="27"/>
      <c r="H33" s="26"/>
      <c r="I33" s="26"/>
      <c r="J33" s="25"/>
    </row>
    <row r="34" spans="1:16" x14ac:dyDescent="0.3">
      <c r="A34" s="192" t="s">
        <v>58</v>
      </c>
      <c r="B34" s="192"/>
      <c r="C34" s="192"/>
      <c r="D34" s="192"/>
      <c r="E34" s="192"/>
      <c r="F34" s="192"/>
      <c r="G34" s="192"/>
      <c r="H34" s="192"/>
      <c r="I34" s="192"/>
      <c r="J34" s="192"/>
      <c r="K34" s="192"/>
    </row>
    <row r="35" spans="1:16" x14ac:dyDescent="0.3">
      <c r="A35" s="192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M35" s="2"/>
      <c r="N35" s="2"/>
    </row>
    <row r="36" spans="1:16" x14ac:dyDescent="0.3">
      <c r="M36" s="2"/>
      <c r="N36" s="2"/>
    </row>
    <row r="37" spans="1:16" x14ac:dyDescent="0.3">
      <c r="M37" s="2"/>
      <c r="N37" s="2"/>
    </row>
    <row r="38" spans="1:16" ht="28.8" x14ac:dyDescent="0.3">
      <c r="L38" s="5" t="s">
        <v>17</v>
      </c>
      <c r="M38" s="21" t="s">
        <v>54</v>
      </c>
      <c r="N38" s="21" t="s">
        <v>53</v>
      </c>
      <c r="O38" s="42" t="s">
        <v>34</v>
      </c>
    </row>
    <row r="39" spans="1:16" ht="15.6" x14ac:dyDescent="0.3">
      <c r="K39" s="5"/>
      <c r="L39" s="8" t="s">
        <v>18</v>
      </c>
      <c r="M39" s="6">
        <v>0</v>
      </c>
      <c r="N39" s="44" t="s">
        <v>18</v>
      </c>
      <c r="O39" s="6" t="s">
        <v>35</v>
      </c>
      <c r="P39" s="10"/>
    </row>
    <row r="40" spans="1:16" x14ac:dyDescent="0.3">
      <c r="K40" s="1"/>
      <c r="L40" s="43" t="s">
        <v>19</v>
      </c>
      <c r="M40" s="15">
        <v>1</v>
      </c>
      <c r="N40" s="43" t="s">
        <v>19</v>
      </c>
      <c r="O40" s="6" t="s">
        <v>36</v>
      </c>
    </row>
    <row r="41" spans="1:16" x14ac:dyDescent="0.3">
      <c r="K41" s="1"/>
      <c r="M41" s="16">
        <v>2</v>
      </c>
      <c r="N41" s="16"/>
      <c r="O41" s="6" t="s">
        <v>37</v>
      </c>
    </row>
    <row r="42" spans="1:16" x14ac:dyDescent="0.3">
      <c r="K42" s="1"/>
      <c r="M42" s="16">
        <v>3</v>
      </c>
      <c r="N42" s="16"/>
      <c r="O42" s="6" t="s">
        <v>38</v>
      </c>
    </row>
    <row r="43" spans="1:16" x14ac:dyDescent="0.3">
      <c r="K43" s="1"/>
      <c r="L43" s="1"/>
      <c r="M43" s="16">
        <v>4</v>
      </c>
      <c r="N43" s="15"/>
      <c r="O43" s="6" t="s">
        <v>39</v>
      </c>
    </row>
    <row r="44" spans="1:16" x14ac:dyDescent="0.3">
      <c r="K44" s="1"/>
      <c r="L44" s="1"/>
      <c r="M44" s="15">
        <v>5</v>
      </c>
      <c r="N44" s="15"/>
      <c r="O44" s="6" t="s">
        <v>40</v>
      </c>
    </row>
    <row r="45" spans="1:16" x14ac:dyDescent="0.3">
      <c r="K45" s="1"/>
      <c r="L45" s="1"/>
      <c r="M45" s="15">
        <v>6</v>
      </c>
      <c r="N45" s="15"/>
      <c r="O45" s="6" t="s">
        <v>41</v>
      </c>
    </row>
    <row r="46" spans="1:16" x14ac:dyDescent="0.3">
      <c r="K46" s="1"/>
      <c r="L46" s="1"/>
      <c r="M46" s="15">
        <v>7</v>
      </c>
      <c r="N46" s="15"/>
      <c r="O46" s="6" t="s">
        <v>42</v>
      </c>
    </row>
    <row r="47" spans="1:16" x14ac:dyDescent="0.3">
      <c r="K47" s="1"/>
      <c r="L47" s="1"/>
      <c r="M47" s="15">
        <v>8</v>
      </c>
      <c r="N47" s="15"/>
      <c r="O47" s="6" t="s">
        <v>43</v>
      </c>
    </row>
    <row r="48" spans="1:16" x14ac:dyDescent="0.3">
      <c r="E48" s="2"/>
      <c r="F48" s="2"/>
      <c r="G48" s="2"/>
      <c r="K48" s="1"/>
      <c r="L48" s="1"/>
      <c r="M48" s="15">
        <v>9</v>
      </c>
      <c r="N48" s="15"/>
      <c r="O48" s="6" t="s">
        <v>44</v>
      </c>
    </row>
    <row r="49" spans="5:15" x14ac:dyDescent="0.3">
      <c r="E49" s="2"/>
      <c r="F49" s="2"/>
      <c r="G49" s="2"/>
      <c r="K49" s="1"/>
      <c r="L49" s="1"/>
      <c r="M49" s="15">
        <v>10</v>
      </c>
      <c r="N49" s="15"/>
      <c r="O49" s="6" t="s">
        <v>45</v>
      </c>
    </row>
    <row r="50" spans="5:15" x14ac:dyDescent="0.3">
      <c r="E50" s="2"/>
      <c r="F50" s="2"/>
      <c r="G50" s="2"/>
      <c r="K50" s="1"/>
      <c r="L50" s="1"/>
      <c r="M50" s="15">
        <v>11</v>
      </c>
      <c r="N50" s="15"/>
      <c r="O50" s="6" t="s">
        <v>46</v>
      </c>
    </row>
    <row r="51" spans="5:15" x14ac:dyDescent="0.3">
      <c r="E51" s="2"/>
      <c r="F51" s="2"/>
      <c r="G51" s="2"/>
      <c r="K51" s="1"/>
      <c r="L51" s="1"/>
      <c r="M51" s="15">
        <v>12</v>
      </c>
      <c r="N51" s="15"/>
      <c r="O51" s="6"/>
    </row>
    <row r="52" spans="5:15" x14ac:dyDescent="0.3">
      <c r="E52" s="2"/>
      <c r="F52" s="2"/>
      <c r="G52" s="2"/>
      <c r="K52" s="1"/>
      <c r="L52" s="1"/>
      <c r="M52" s="15">
        <v>13</v>
      </c>
      <c r="N52" s="15"/>
      <c r="O52" s="6"/>
    </row>
    <row r="53" spans="5:15" x14ac:dyDescent="0.3">
      <c r="E53" s="2"/>
      <c r="F53" s="2"/>
      <c r="G53" s="2"/>
      <c r="K53" s="1"/>
      <c r="L53" s="1"/>
      <c r="M53" s="15">
        <v>14</v>
      </c>
      <c r="N53" s="15"/>
      <c r="O53" s="6"/>
    </row>
    <row r="54" spans="5:15" x14ac:dyDescent="0.3">
      <c r="E54" s="2"/>
      <c r="F54" s="2"/>
      <c r="G54" s="2"/>
      <c r="K54" s="1"/>
      <c r="M54" s="15">
        <v>15</v>
      </c>
      <c r="O54" s="6"/>
    </row>
    <row r="55" spans="5:15" x14ac:dyDescent="0.3">
      <c r="E55" s="2"/>
      <c r="F55" s="2"/>
      <c r="G55" s="2"/>
      <c r="K55" s="1"/>
    </row>
    <row r="56" spans="5:15" x14ac:dyDescent="0.3">
      <c r="K56" s="1"/>
    </row>
    <row r="57" spans="5:15" x14ac:dyDescent="0.3">
      <c r="K57" s="1"/>
    </row>
    <row r="58" spans="5:15" x14ac:dyDescent="0.3">
      <c r="K58" s="1"/>
    </row>
    <row r="59" spans="5:15" x14ac:dyDescent="0.3">
      <c r="K59" s="1" t="str">
        <f>IF(MAESTRO!A20="","",MAESTRO!A20)</f>
        <v/>
      </c>
    </row>
    <row r="60" spans="5:15" x14ac:dyDescent="0.3">
      <c r="K60" s="1" t="str">
        <f>IF(MAESTRO!A21="","",MAESTRO!A21)</f>
        <v/>
      </c>
    </row>
  </sheetData>
  <sheetProtection selectLockedCells="1"/>
  <dataConsolidate/>
  <mergeCells count="49">
    <mergeCell ref="B26:C26"/>
    <mergeCell ref="H26:K26"/>
    <mergeCell ref="B10:C10"/>
    <mergeCell ref="B12:C12"/>
    <mergeCell ref="B13:C13"/>
    <mergeCell ref="B11:C11"/>
    <mergeCell ref="B14:C14"/>
    <mergeCell ref="H10:K10"/>
    <mergeCell ref="H11:K11"/>
    <mergeCell ref="H12:K12"/>
    <mergeCell ref="H13:K13"/>
    <mergeCell ref="H14:K14"/>
    <mergeCell ref="G15:G22"/>
    <mergeCell ref="H22:K22"/>
    <mergeCell ref="B24:C24"/>
    <mergeCell ref="B23:C23"/>
    <mergeCell ref="B8:C8"/>
    <mergeCell ref="B9:C9"/>
    <mergeCell ref="A7:K7"/>
    <mergeCell ref="H8:K8"/>
    <mergeCell ref="H9:K9"/>
    <mergeCell ref="A1:B3"/>
    <mergeCell ref="C5:G5"/>
    <mergeCell ref="I5:J5"/>
    <mergeCell ref="J1:K1"/>
    <mergeCell ref="J3:K3"/>
    <mergeCell ref="C1:H3"/>
    <mergeCell ref="H23:K23"/>
    <mergeCell ref="H24:K24"/>
    <mergeCell ref="B15:C22"/>
    <mergeCell ref="D15:D22"/>
    <mergeCell ref="E15:E22"/>
    <mergeCell ref="F15:F22"/>
    <mergeCell ref="A34:K35"/>
    <mergeCell ref="A15:A22"/>
    <mergeCell ref="A31:B31"/>
    <mergeCell ref="C31:D31"/>
    <mergeCell ref="A32:B32"/>
    <mergeCell ref="C32:D32"/>
    <mergeCell ref="B28:C28"/>
    <mergeCell ref="H28:K28"/>
    <mergeCell ref="A30:F30"/>
    <mergeCell ref="G30:K30"/>
    <mergeCell ref="B27:C27"/>
    <mergeCell ref="H27:K27"/>
    <mergeCell ref="B29:C29"/>
    <mergeCell ref="H29:K29"/>
    <mergeCell ref="B25:C25"/>
    <mergeCell ref="H25:K25"/>
  </mergeCells>
  <dataValidations count="4">
    <dataValidation type="list" allowBlank="1" showInputMessage="1" showErrorMessage="1" sqref="D9" xr:uid="{00000000-0002-0000-0100-000000000000}">
      <formula1>$M$32:$M$47</formula1>
    </dataValidation>
    <dataValidation type="list" allowBlank="1" showInputMessage="1" showErrorMessage="1" sqref="D10:D14 E26:F26 D23:D29" xr:uid="{00000000-0002-0000-0100-000001000000}">
      <formula1>$M$32:$M$48</formula1>
    </dataValidation>
    <dataValidation type="list" allowBlank="1" showInputMessage="1" showErrorMessage="1" sqref="D15 E27:F29 E23:F25 E9:F15" xr:uid="{00000000-0002-0000-0100-000002000000}">
      <formula1>$M$40:$M$54</formula1>
    </dataValidation>
    <dataValidation type="list" allowBlank="1" showInputMessage="1" showErrorMessage="1" sqref="C5:G5" xr:uid="{00000000-0002-0000-0100-000003000000}">
      <formula1>$U$9:$U$27</formula1>
    </dataValidation>
  </dataValidations>
  <pageMargins left="0.39370078740157483" right="0.39370078740157483" top="0.59055118110236227" bottom="0.59055118110236227" header="0.31496062992125984" footer="0.31496062992125984"/>
  <pageSetup scale="67" orientation="portrait" r:id="rId1"/>
  <headerFooter>
    <oddFooter>&amp;RPág. &amp;P -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Q62"/>
  <sheetViews>
    <sheetView view="pageBreakPreview" topLeftCell="A10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30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.33203125" style="2" customWidth="1" collapsed="1"/>
    <col min="12" max="12" width="14.44140625" style="2" customWidth="1" collapsed="1"/>
    <col min="13" max="13" width="11.44140625" style="6" customWidth="1" collapsed="1"/>
    <col min="14" max="14" width="9" style="6" customWidth="1" collapsed="1"/>
    <col min="15" max="17" width="11.44140625" style="2" hidden="1" customWidth="1" collapsed="1"/>
    <col min="18" max="20" width="0" style="2" hidden="1" customWidth="1" collapsed="1"/>
    <col min="21" max="16384" width="11.44140625" style="2" collapsed="1"/>
  </cols>
  <sheetData>
    <row r="1" spans="1:15" ht="15" customHeight="1" x14ac:dyDescent="0.3">
      <c r="A1" s="149"/>
      <c r="B1" s="149"/>
      <c r="C1" s="156" t="s">
        <v>16</v>
      </c>
      <c r="D1" s="157"/>
      <c r="E1" s="157"/>
      <c r="F1" s="157"/>
      <c r="G1" s="157"/>
      <c r="H1" s="158"/>
      <c r="I1" s="30" t="s">
        <v>25</v>
      </c>
      <c r="J1" s="206" t="s">
        <v>49</v>
      </c>
      <c r="K1" s="205"/>
    </row>
    <row r="2" spans="1:15" ht="20.2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15" x14ac:dyDescent="0.3">
      <c r="A3" s="149"/>
      <c r="B3" s="149"/>
      <c r="C3" s="162"/>
      <c r="D3" s="163"/>
      <c r="E3" s="163"/>
      <c r="F3" s="163"/>
      <c r="G3" s="163"/>
      <c r="H3" s="164"/>
      <c r="I3" s="30" t="s">
        <v>27</v>
      </c>
      <c r="J3" s="154">
        <v>42286</v>
      </c>
      <c r="K3" s="155"/>
    </row>
    <row r="4" spans="1:15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5" ht="15.75" customHeight="1" x14ac:dyDescent="0.3">
      <c r="A5" s="3"/>
      <c r="B5" s="13" t="s">
        <v>32</v>
      </c>
      <c r="C5" s="150" t="s">
        <v>13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15" ht="15.75" customHeight="1" x14ac:dyDescent="0.3">
      <c r="A6" s="18"/>
      <c r="E6" s="19"/>
      <c r="F6" s="19"/>
      <c r="G6" s="11"/>
    </row>
    <row r="7" spans="1:15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5" ht="28.8" x14ac:dyDescent="0.3">
      <c r="A8" s="48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15" ht="18" customHeight="1" x14ac:dyDescent="0.3">
      <c r="A9" s="29">
        <v>1</v>
      </c>
      <c r="B9" s="124" t="s">
        <v>29</v>
      </c>
      <c r="C9" s="125"/>
      <c r="D9" s="28">
        <v>5</v>
      </c>
      <c r="E9" s="7">
        <v>5</v>
      </c>
      <c r="F9" s="7">
        <v>5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  <c r="O9" s="90" t="s">
        <v>2</v>
      </c>
    </row>
    <row r="10" spans="1:15" ht="18" customHeight="1" x14ac:dyDescent="0.3">
      <c r="A10" s="29">
        <v>2</v>
      </c>
      <c r="B10" s="124" t="s">
        <v>28</v>
      </c>
      <c r="C10" s="125"/>
      <c r="D10" s="28">
        <v>5</v>
      </c>
      <c r="E10" s="7">
        <v>5</v>
      </c>
      <c r="F10" s="7">
        <v>5</v>
      </c>
      <c r="G10" s="22">
        <f t="shared" ref="G10:G29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O10" s="90" t="s">
        <v>48</v>
      </c>
    </row>
    <row r="11" spans="1:15" ht="18" customHeight="1" x14ac:dyDescent="0.3">
      <c r="A11" s="29">
        <v>3</v>
      </c>
      <c r="B11" s="124" t="s">
        <v>31</v>
      </c>
      <c r="C11" s="125"/>
      <c r="D11" s="28">
        <v>5</v>
      </c>
      <c r="E11" s="7">
        <v>5</v>
      </c>
      <c r="F11" s="7">
        <v>5</v>
      </c>
      <c r="G11" s="22">
        <f t="shared" si="0"/>
        <v>1</v>
      </c>
      <c r="H11" s="134"/>
      <c r="I11" s="134"/>
      <c r="J11" s="134"/>
      <c r="K11" s="134"/>
      <c r="O11" s="90" t="s">
        <v>121</v>
      </c>
    </row>
    <row r="12" spans="1:15" ht="18" customHeight="1" x14ac:dyDescent="0.3">
      <c r="A12" s="29">
        <v>4</v>
      </c>
      <c r="B12" s="124" t="s">
        <v>30</v>
      </c>
      <c r="C12" s="125"/>
      <c r="D12" s="28">
        <v>5</v>
      </c>
      <c r="E12" s="7">
        <v>5</v>
      </c>
      <c r="F12" s="7">
        <v>5</v>
      </c>
      <c r="G12" s="22">
        <f t="shared" si="0"/>
        <v>1</v>
      </c>
      <c r="H12" s="134"/>
      <c r="I12" s="134"/>
      <c r="J12" s="134"/>
      <c r="K12" s="134"/>
      <c r="O12" s="90" t="s">
        <v>13</v>
      </c>
    </row>
    <row r="13" spans="1:15" ht="18" customHeight="1" x14ac:dyDescent="0.3">
      <c r="A13" s="29">
        <v>5</v>
      </c>
      <c r="B13" s="124" t="s">
        <v>22</v>
      </c>
      <c r="C13" s="125"/>
      <c r="D13" s="28">
        <v>5</v>
      </c>
      <c r="E13" s="7">
        <v>5</v>
      </c>
      <c r="F13" s="7">
        <v>5</v>
      </c>
      <c r="G13" s="22">
        <f t="shared" si="0"/>
        <v>1</v>
      </c>
      <c r="H13" s="134"/>
      <c r="I13" s="134"/>
      <c r="J13" s="134"/>
      <c r="K13" s="134"/>
      <c r="O13" s="90" t="s">
        <v>47</v>
      </c>
    </row>
    <row r="14" spans="1:15" ht="18" customHeight="1" x14ac:dyDescent="0.3">
      <c r="A14" s="29">
        <v>6</v>
      </c>
      <c r="B14" s="126" t="s">
        <v>55</v>
      </c>
      <c r="C14" s="127"/>
      <c r="D14" s="28">
        <v>1</v>
      </c>
      <c r="E14" s="7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O14" s="90" t="s">
        <v>12</v>
      </c>
    </row>
    <row r="15" spans="1:15" ht="18" customHeight="1" x14ac:dyDescent="0.3">
      <c r="A15" s="117">
        <v>7</v>
      </c>
      <c r="B15" s="135" t="s">
        <v>24</v>
      </c>
      <c r="C15" s="136"/>
      <c r="D15" s="141">
        <v>4</v>
      </c>
      <c r="E15" s="144">
        <v>4</v>
      </c>
      <c r="F15" s="144">
        <v>4</v>
      </c>
      <c r="G15" s="128">
        <f>IF(D15="","",IF(D15=0,"-",IF(F15&gt;D15,"ERROR",IF(E15&gt;D15,"ERROR",IF(E15&lt;D15,0,IF(E15&gt;F15,0,IF(F15=D15,1,0)))))))</f>
        <v>1</v>
      </c>
      <c r="H15" s="51" t="s">
        <v>63</v>
      </c>
      <c r="I15" s="46"/>
      <c r="J15" s="51" t="s">
        <v>62</v>
      </c>
      <c r="K15" s="46"/>
      <c r="O15" s="90" t="s">
        <v>122</v>
      </c>
    </row>
    <row r="16" spans="1:15" ht="18" customHeight="1" x14ac:dyDescent="0.3">
      <c r="A16" s="118"/>
      <c r="B16" s="137"/>
      <c r="C16" s="138"/>
      <c r="D16" s="142"/>
      <c r="E16" s="145"/>
      <c r="F16" s="145"/>
      <c r="G16" s="129"/>
      <c r="H16" s="51" t="s">
        <v>64</v>
      </c>
      <c r="I16" s="63"/>
      <c r="J16" s="51" t="s">
        <v>62</v>
      </c>
      <c r="K16" s="46"/>
      <c r="M16" s="2"/>
      <c r="N16" s="2"/>
      <c r="O16" s="90" t="s">
        <v>123</v>
      </c>
    </row>
    <row r="17" spans="1:15" ht="18" customHeight="1" x14ac:dyDescent="0.3">
      <c r="A17" s="118"/>
      <c r="B17" s="137"/>
      <c r="C17" s="138"/>
      <c r="D17" s="142"/>
      <c r="E17" s="145"/>
      <c r="F17" s="145"/>
      <c r="G17" s="129"/>
      <c r="H17" s="51" t="s">
        <v>65</v>
      </c>
      <c r="I17" s="63"/>
      <c r="J17" s="51" t="s">
        <v>62</v>
      </c>
      <c r="K17" s="46"/>
      <c r="M17" s="2"/>
      <c r="N17" s="2"/>
      <c r="O17" s="90" t="s">
        <v>14</v>
      </c>
    </row>
    <row r="18" spans="1:15" ht="18" customHeight="1" x14ac:dyDescent="0.3">
      <c r="A18" s="118"/>
      <c r="B18" s="137"/>
      <c r="C18" s="138"/>
      <c r="D18" s="142"/>
      <c r="E18" s="145"/>
      <c r="F18" s="145"/>
      <c r="G18" s="129"/>
      <c r="H18" s="51" t="s">
        <v>66</v>
      </c>
      <c r="I18" s="63"/>
      <c r="J18" s="51" t="s">
        <v>62</v>
      </c>
      <c r="K18" s="46"/>
      <c r="M18" s="2"/>
      <c r="N18" s="2"/>
      <c r="O18" s="90" t="s">
        <v>6</v>
      </c>
    </row>
    <row r="19" spans="1:15" ht="18" customHeight="1" x14ac:dyDescent="0.3">
      <c r="A19" s="118"/>
      <c r="B19" s="137"/>
      <c r="C19" s="138"/>
      <c r="D19" s="142"/>
      <c r="E19" s="145"/>
      <c r="F19" s="145"/>
      <c r="G19" s="129"/>
      <c r="H19" s="51" t="s">
        <v>67</v>
      </c>
      <c r="I19" s="64"/>
      <c r="J19" s="51" t="s">
        <v>62</v>
      </c>
      <c r="K19" s="46"/>
      <c r="M19" s="2"/>
      <c r="N19" s="2"/>
      <c r="O19" s="90" t="s">
        <v>78</v>
      </c>
    </row>
    <row r="20" spans="1:15" ht="18" customHeight="1" x14ac:dyDescent="0.3">
      <c r="A20" s="118"/>
      <c r="B20" s="137"/>
      <c r="C20" s="138"/>
      <c r="D20" s="142"/>
      <c r="E20" s="145"/>
      <c r="F20" s="145"/>
      <c r="G20" s="129"/>
      <c r="H20" s="51" t="s">
        <v>68</v>
      </c>
      <c r="I20" s="45"/>
      <c r="J20" s="51" t="s">
        <v>62</v>
      </c>
      <c r="K20" s="46"/>
      <c r="M20" s="2"/>
      <c r="N20" s="2"/>
      <c r="O20" s="90" t="s">
        <v>7</v>
      </c>
    </row>
    <row r="21" spans="1:15" ht="18.75" customHeight="1" x14ac:dyDescent="0.3">
      <c r="A21" s="118"/>
      <c r="B21" s="137"/>
      <c r="C21" s="138"/>
      <c r="D21" s="142"/>
      <c r="E21" s="145"/>
      <c r="F21" s="145"/>
      <c r="G21" s="129"/>
      <c r="H21" s="51" t="s">
        <v>69</v>
      </c>
      <c r="I21" s="45"/>
      <c r="J21" s="51" t="s">
        <v>62</v>
      </c>
      <c r="K21" s="46"/>
      <c r="L21" s="4"/>
      <c r="M21" s="2"/>
      <c r="N21" s="2"/>
      <c r="O21" s="90" t="s">
        <v>124</v>
      </c>
    </row>
    <row r="22" spans="1:15" ht="18.75" customHeight="1" x14ac:dyDescent="0.3">
      <c r="A22" s="119"/>
      <c r="B22" s="139"/>
      <c r="C22" s="140"/>
      <c r="D22" s="143"/>
      <c r="E22" s="146"/>
      <c r="F22" s="146"/>
      <c r="G22" s="130"/>
      <c r="H22" s="131"/>
      <c r="I22" s="132"/>
      <c r="J22" s="132"/>
      <c r="K22" s="133"/>
      <c r="L22" s="4"/>
      <c r="M22" s="2"/>
      <c r="N22" s="2"/>
      <c r="O22" s="90" t="s">
        <v>125</v>
      </c>
    </row>
    <row r="23" spans="1:15" ht="18" customHeight="1" x14ac:dyDescent="0.3">
      <c r="A23" s="29">
        <v>8</v>
      </c>
      <c r="B23" s="126" t="s">
        <v>21</v>
      </c>
      <c r="C23" s="127"/>
      <c r="D23" s="28">
        <v>1</v>
      </c>
      <c r="E23" s="7">
        <v>1</v>
      </c>
      <c r="F23" s="7">
        <v>1</v>
      </c>
      <c r="G23" s="22">
        <f t="shared" si="0"/>
        <v>1</v>
      </c>
      <c r="H23" s="134"/>
      <c r="I23" s="134"/>
      <c r="J23" s="134"/>
      <c r="K23" s="134"/>
      <c r="M23" s="2"/>
      <c r="N23" s="2"/>
      <c r="O23" s="90" t="s">
        <v>126</v>
      </c>
    </row>
    <row r="24" spans="1:15" ht="18" customHeight="1" x14ac:dyDescent="0.3">
      <c r="A24" s="29">
        <v>9</v>
      </c>
      <c r="B24" s="126" t="s">
        <v>20</v>
      </c>
      <c r="C24" s="127"/>
      <c r="D24" s="28">
        <v>1</v>
      </c>
      <c r="E24" s="7">
        <v>1</v>
      </c>
      <c r="F24" s="7">
        <v>1</v>
      </c>
      <c r="G24" s="22">
        <f t="shared" si="0"/>
        <v>1</v>
      </c>
      <c r="H24" s="134"/>
      <c r="I24" s="134"/>
      <c r="J24" s="134"/>
      <c r="K24" s="134"/>
      <c r="M24" s="2"/>
      <c r="N24" s="2"/>
      <c r="O24" s="90" t="s">
        <v>127</v>
      </c>
    </row>
    <row r="25" spans="1:15" ht="18" customHeight="1" x14ac:dyDescent="0.3">
      <c r="A25" s="29">
        <v>10</v>
      </c>
      <c r="B25" s="124" t="s">
        <v>8</v>
      </c>
      <c r="C25" s="125"/>
      <c r="D25" s="28">
        <v>5</v>
      </c>
      <c r="E25" s="7">
        <v>5</v>
      </c>
      <c r="F25" s="7">
        <v>5</v>
      </c>
      <c r="G25" s="22">
        <f t="shared" si="0"/>
        <v>1</v>
      </c>
      <c r="H25" s="175"/>
      <c r="I25" s="176"/>
      <c r="J25" s="176"/>
      <c r="K25" s="177"/>
      <c r="M25" s="2"/>
      <c r="N25" s="2"/>
      <c r="O25" s="90" t="s">
        <v>128</v>
      </c>
    </row>
    <row r="26" spans="1:15" ht="18" customHeight="1" x14ac:dyDescent="0.3">
      <c r="A26" s="29">
        <v>11</v>
      </c>
      <c r="B26" s="122" t="s">
        <v>132</v>
      </c>
      <c r="C26" s="123"/>
      <c r="D26" s="28">
        <v>2</v>
      </c>
      <c r="E26" s="28">
        <v>2</v>
      </c>
      <c r="F26" s="28">
        <v>2</v>
      </c>
      <c r="G26" s="22">
        <f t="shared" si="0"/>
        <v>1</v>
      </c>
      <c r="H26" s="175"/>
      <c r="I26" s="176"/>
      <c r="J26" s="176"/>
      <c r="K26" s="177"/>
      <c r="M26" s="2"/>
      <c r="N26" s="2"/>
      <c r="O26" s="90" t="s">
        <v>129</v>
      </c>
    </row>
    <row r="27" spans="1:15" ht="18" customHeight="1" x14ac:dyDescent="0.3">
      <c r="A27" s="29">
        <v>12</v>
      </c>
      <c r="B27" s="120" t="s">
        <v>60</v>
      </c>
      <c r="C27" s="121"/>
      <c r="D27" s="28">
        <v>1</v>
      </c>
      <c r="E27" s="7">
        <v>1</v>
      </c>
      <c r="F27" s="7">
        <v>1</v>
      </c>
      <c r="G27" s="22">
        <f t="shared" si="0"/>
        <v>1</v>
      </c>
      <c r="H27" s="175"/>
      <c r="I27" s="176"/>
      <c r="J27" s="176"/>
      <c r="K27" s="177"/>
      <c r="O27" s="90" t="s">
        <v>130</v>
      </c>
    </row>
    <row r="28" spans="1:15" ht="18" customHeight="1" x14ac:dyDescent="0.3">
      <c r="A28" s="29">
        <v>13</v>
      </c>
      <c r="B28" s="195" t="s">
        <v>56</v>
      </c>
      <c r="C28" s="196"/>
      <c r="D28" s="47">
        <v>1</v>
      </c>
      <c r="E28" s="7">
        <v>1</v>
      </c>
      <c r="F28" s="7">
        <v>1</v>
      </c>
      <c r="G28" s="49">
        <f t="shared" si="0"/>
        <v>1</v>
      </c>
      <c r="H28" s="197"/>
      <c r="I28" s="197"/>
      <c r="J28" s="197"/>
      <c r="K28" s="197"/>
    </row>
    <row r="29" spans="1:15" ht="18" customHeight="1" thickBot="1" x14ac:dyDescent="0.35">
      <c r="A29" s="29">
        <v>14</v>
      </c>
      <c r="B29" s="203" t="s">
        <v>70</v>
      </c>
      <c r="C29" s="204"/>
      <c r="D29" s="28">
        <v>4</v>
      </c>
      <c r="E29" s="7">
        <v>4</v>
      </c>
      <c r="F29" s="7">
        <v>4</v>
      </c>
      <c r="G29" s="22">
        <f t="shared" si="0"/>
        <v>1</v>
      </c>
      <c r="H29" s="134"/>
      <c r="I29" s="134"/>
      <c r="J29" s="134"/>
      <c r="K29" s="134"/>
    </row>
    <row r="30" spans="1:15" ht="19.5" customHeight="1" thickBot="1" x14ac:dyDescent="0.35">
      <c r="A30" s="198" t="s">
        <v>57</v>
      </c>
      <c r="B30" s="199"/>
      <c r="C30" s="199"/>
      <c r="D30" s="199"/>
      <c r="E30" s="199"/>
      <c r="F30" s="199"/>
      <c r="G30" s="200">
        <f>IFERROR(AVERAGE(G9:G28),"-")</f>
        <v>1</v>
      </c>
      <c r="H30" s="201"/>
      <c r="I30" s="201"/>
      <c r="J30" s="201"/>
      <c r="K30" s="202"/>
    </row>
    <row r="31" spans="1:15" ht="17.25" customHeight="1" x14ac:dyDescent="0.3">
      <c r="A31" s="34"/>
      <c r="E31" s="17"/>
      <c r="F31" s="35"/>
      <c r="G31" s="36"/>
      <c r="H31" s="25"/>
      <c r="I31" s="37"/>
      <c r="J31" s="23"/>
    </row>
    <row r="32" spans="1:15" ht="28.5" customHeight="1" x14ac:dyDescent="0.3">
      <c r="A32" s="193" t="s">
        <v>59</v>
      </c>
      <c r="B32" s="193"/>
      <c r="C32" s="194" t="s">
        <v>153</v>
      </c>
      <c r="D32" s="194"/>
      <c r="E32" s="38"/>
      <c r="F32" s="38"/>
      <c r="G32" s="24"/>
      <c r="H32" s="25"/>
      <c r="I32" s="26"/>
      <c r="J32" s="25"/>
    </row>
    <row r="33" spans="1:16" x14ac:dyDescent="0.3">
      <c r="A33" s="193" t="s">
        <v>61</v>
      </c>
      <c r="B33" s="193"/>
      <c r="C33" s="184" t="s">
        <v>142</v>
      </c>
      <c r="D33" s="185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92" t="s">
        <v>58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</row>
    <row r="36" spans="1:16" x14ac:dyDescent="0.3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17</v>
      </c>
      <c r="M39" s="21" t="s">
        <v>54</v>
      </c>
      <c r="N39" s="21" t="s">
        <v>53</v>
      </c>
      <c r="O39" s="42" t="s">
        <v>34</v>
      </c>
    </row>
    <row r="40" spans="1:16" ht="15.6" hidden="1" x14ac:dyDescent="0.3">
      <c r="K40" s="5" t="s">
        <v>10</v>
      </c>
      <c r="L40" s="8" t="s">
        <v>18</v>
      </c>
      <c r="M40" s="6">
        <v>0</v>
      </c>
      <c r="N40" s="44" t="s">
        <v>18</v>
      </c>
      <c r="O40" s="6" t="s">
        <v>35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19</v>
      </c>
      <c r="M41" s="15">
        <v>1</v>
      </c>
      <c r="N41" s="43" t="s">
        <v>19</v>
      </c>
      <c r="O41" s="6" t="s">
        <v>36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37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38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39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40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41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42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43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44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45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46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hidden="1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  <row r="62" spans="5:15" x14ac:dyDescent="0.3">
      <c r="K62" s="1"/>
    </row>
  </sheetData>
  <sheetProtection selectLockedCells="1"/>
  <dataConsolidate/>
  <mergeCells count="49">
    <mergeCell ref="B24:C24"/>
    <mergeCell ref="A30:F30"/>
    <mergeCell ref="G30:K30"/>
    <mergeCell ref="H27:K27"/>
    <mergeCell ref="B25:C25"/>
    <mergeCell ref="H25:K25"/>
    <mergeCell ref="B28:C28"/>
    <mergeCell ref="H28:K28"/>
    <mergeCell ref="B29:C29"/>
    <mergeCell ref="H29:K29"/>
    <mergeCell ref="B27:C27"/>
    <mergeCell ref="B26:C26"/>
    <mergeCell ref="H26:K26"/>
    <mergeCell ref="J1:K1"/>
    <mergeCell ref="J3:K3"/>
    <mergeCell ref="C1:H3"/>
    <mergeCell ref="B10:C10"/>
    <mergeCell ref="A1:B3"/>
    <mergeCell ref="B9:C9"/>
    <mergeCell ref="C5:G5"/>
    <mergeCell ref="I5:J5"/>
    <mergeCell ref="B8:C8"/>
    <mergeCell ref="A7:K7"/>
    <mergeCell ref="H8:K8"/>
    <mergeCell ref="H9:K9"/>
    <mergeCell ref="H10:K10"/>
    <mergeCell ref="H23:K23"/>
    <mergeCell ref="H24:K24"/>
    <mergeCell ref="D15:D22"/>
    <mergeCell ref="G15:G22"/>
    <mergeCell ref="H22:K22"/>
    <mergeCell ref="A15:A22"/>
    <mergeCell ref="B23:C23"/>
    <mergeCell ref="B15:C22"/>
    <mergeCell ref="E15:E22"/>
    <mergeCell ref="F15:F22"/>
    <mergeCell ref="H11:K11"/>
    <mergeCell ref="H12:K12"/>
    <mergeCell ref="H13:K13"/>
    <mergeCell ref="H14:K14"/>
    <mergeCell ref="B12:C12"/>
    <mergeCell ref="B13:C13"/>
    <mergeCell ref="B11:C11"/>
    <mergeCell ref="B14:C14"/>
    <mergeCell ref="A35:K36"/>
    <mergeCell ref="A32:B32"/>
    <mergeCell ref="C32:D32"/>
    <mergeCell ref="A33:B33"/>
    <mergeCell ref="C33:D33"/>
  </mergeCells>
  <dataValidations count="4">
    <dataValidation type="list" allowBlank="1" showInputMessage="1" showErrorMessage="1" sqref="D10:D14 D23:D29 E26:F26" xr:uid="{00000000-0002-0000-0200-000000000000}">
      <formula1>$M$33:$M$49</formula1>
    </dataValidation>
    <dataValidation type="list" allowBlank="1" showInputMessage="1" showErrorMessage="1" sqref="D9" xr:uid="{00000000-0002-0000-0200-000001000000}">
      <formula1>$M$33:$M$48</formula1>
    </dataValidation>
    <dataValidation type="list" allowBlank="1" showInputMessage="1" showErrorMessage="1" sqref="D15 E9:F15 E23:F25 E27:F29" xr:uid="{00000000-0002-0000-0200-000002000000}">
      <formula1>$M$41:$M$55</formula1>
    </dataValidation>
    <dataValidation type="list" allowBlank="1" showInputMessage="1" showErrorMessage="1" sqref="C5:G5" xr:uid="{00000000-0002-0000-0200-000003000000}">
      <formula1>$O$9:$O$27</formula1>
    </dataValidation>
  </dataValidations>
  <pageMargins left="0.39370078740157483" right="0.39370078740157483" top="0.59055118110236227" bottom="0.59055118110236227" header="0.31496062992125984" footer="0.31496062992125984"/>
  <pageSetup scale="67" orientation="portrait" r:id="rId1"/>
  <headerFooter>
    <oddFooter>&amp;RPág. &amp;P -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P61"/>
  <sheetViews>
    <sheetView view="pageBreakPreview" topLeftCell="A10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15.5546875" style="2" customWidth="1" collapsed="1"/>
    <col min="3" max="3" width="32.1093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3.44140625" style="2" customWidth="1" collapsed="1"/>
    <col min="12" max="12" width="14.44140625" style="2" customWidth="1" collapsed="1"/>
    <col min="13" max="14" width="11.44140625" style="6" customWidth="1" collapsed="1"/>
    <col min="15" max="16" width="11.44140625" style="2" hidden="1" customWidth="1" collapsed="1"/>
    <col min="17" max="20" width="0" style="2" hidden="1" customWidth="1" collapsed="1"/>
    <col min="21" max="16384" width="11.44140625" style="2" collapsed="1"/>
  </cols>
  <sheetData>
    <row r="1" spans="1:16" ht="15" customHeight="1" x14ac:dyDescent="0.3">
      <c r="A1" s="149"/>
      <c r="B1" s="149"/>
      <c r="C1" s="159" t="s">
        <v>16</v>
      </c>
      <c r="D1" s="160"/>
      <c r="E1" s="160"/>
      <c r="F1" s="160"/>
      <c r="G1" s="160"/>
      <c r="H1" s="161"/>
      <c r="I1" s="30" t="s">
        <v>25</v>
      </c>
      <c r="J1" s="206" t="s">
        <v>49</v>
      </c>
      <c r="K1" s="205"/>
    </row>
    <row r="2" spans="1:16" ht="20.2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16" x14ac:dyDescent="0.3">
      <c r="A3" s="149"/>
      <c r="B3" s="149"/>
      <c r="C3" s="159"/>
      <c r="D3" s="160"/>
      <c r="E3" s="160"/>
      <c r="F3" s="160"/>
      <c r="G3" s="160"/>
      <c r="H3" s="161"/>
      <c r="I3" s="30" t="s">
        <v>27</v>
      </c>
      <c r="J3" s="208">
        <v>42286</v>
      </c>
      <c r="K3" s="208"/>
    </row>
    <row r="4" spans="1:16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6" ht="15.75" customHeight="1" x14ac:dyDescent="0.3">
      <c r="A5" s="3"/>
      <c r="B5" s="13" t="s">
        <v>32</v>
      </c>
      <c r="C5" s="150" t="s">
        <v>47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16" ht="15.75" customHeight="1" x14ac:dyDescent="0.3">
      <c r="A6" s="18"/>
      <c r="E6" s="19"/>
      <c r="F6" s="19"/>
      <c r="G6" s="11"/>
    </row>
    <row r="7" spans="1:16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6" ht="28.8" x14ac:dyDescent="0.3">
      <c r="A8" s="48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16" ht="18" customHeight="1" x14ac:dyDescent="0.3">
      <c r="A9" s="29">
        <v>1</v>
      </c>
      <c r="B9" s="124" t="s">
        <v>29</v>
      </c>
      <c r="C9" s="125"/>
      <c r="D9" s="28">
        <v>5</v>
      </c>
      <c r="E9" s="7">
        <v>5</v>
      </c>
      <c r="F9" s="7">
        <v>5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  <c r="P9" s="90" t="s">
        <v>2</v>
      </c>
    </row>
    <row r="10" spans="1:16" ht="18" customHeight="1" x14ac:dyDescent="0.3">
      <c r="A10" s="29">
        <v>2</v>
      </c>
      <c r="B10" s="124" t="s">
        <v>28</v>
      </c>
      <c r="C10" s="125"/>
      <c r="D10" s="28">
        <v>5</v>
      </c>
      <c r="E10" s="7">
        <v>5</v>
      </c>
      <c r="F10" s="7">
        <v>5</v>
      </c>
      <c r="G10" s="22">
        <f t="shared" ref="G10:G29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P10" s="90" t="s">
        <v>48</v>
      </c>
    </row>
    <row r="11" spans="1:16" ht="18" customHeight="1" x14ac:dyDescent="0.3">
      <c r="A11" s="29">
        <v>3</v>
      </c>
      <c r="B11" s="124" t="s">
        <v>31</v>
      </c>
      <c r="C11" s="125"/>
      <c r="D11" s="28">
        <v>5</v>
      </c>
      <c r="E11" s="7">
        <v>5</v>
      </c>
      <c r="F11" s="7">
        <v>5</v>
      </c>
      <c r="G11" s="22">
        <f t="shared" si="0"/>
        <v>1</v>
      </c>
      <c r="H11" s="134"/>
      <c r="I11" s="134"/>
      <c r="J11" s="134"/>
      <c r="K11" s="134"/>
      <c r="P11" s="90" t="s">
        <v>121</v>
      </c>
    </row>
    <row r="12" spans="1:16" ht="18" customHeight="1" x14ac:dyDescent="0.3">
      <c r="A12" s="29">
        <v>4</v>
      </c>
      <c r="B12" s="124" t="s">
        <v>30</v>
      </c>
      <c r="C12" s="125"/>
      <c r="D12" s="28">
        <v>5</v>
      </c>
      <c r="E12" s="7">
        <v>5</v>
      </c>
      <c r="F12" s="7">
        <v>5</v>
      </c>
      <c r="G12" s="22">
        <f t="shared" si="0"/>
        <v>1</v>
      </c>
      <c r="H12" s="134"/>
      <c r="I12" s="134"/>
      <c r="J12" s="134"/>
      <c r="K12" s="134"/>
      <c r="P12" s="90" t="s">
        <v>13</v>
      </c>
    </row>
    <row r="13" spans="1:16" ht="18" customHeight="1" x14ac:dyDescent="0.3">
      <c r="A13" s="29">
        <v>5</v>
      </c>
      <c r="B13" s="124" t="s">
        <v>22</v>
      </c>
      <c r="C13" s="125"/>
      <c r="D13" s="28">
        <v>5</v>
      </c>
      <c r="E13" s="7">
        <v>5</v>
      </c>
      <c r="F13" s="7">
        <v>5</v>
      </c>
      <c r="G13" s="22">
        <f t="shared" si="0"/>
        <v>1</v>
      </c>
      <c r="H13" s="134"/>
      <c r="I13" s="134"/>
      <c r="J13" s="134"/>
      <c r="K13" s="134"/>
      <c r="P13" s="90" t="s">
        <v>47</v>
      </c>
    </row>
    <row r="14" spans="1:16" ht="18" customHeight="1" x14ac:dyDescent="0.3">
      <c r="A14" s="29">
        <v>6</v>
      </c>
      <c r="B14" s="126" t="s">
        <v>55</v>
      </c>
      <c r="C14" s="127"/>
      <c r="D14" s="28">
        <v>1</v>
      </c>
      <c r="E14" s="7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P14" s="90" t="s">
        <v>12</v>
      </c>
    </row>
    <row r="15" spans="1:16" ht="18" customHeight="1" x14ac:dyDescent="0.3">
      <c r="A15" s="117">
        <v>7</v>
      </c>
      <c r="B15" s="135" t="s">
        <v>24</v>
      </c>
      <c r="C15" s="136"/>
      <c r="D15" s="141">
        <v>3</v>
      </c>
      <c r="E15" s="144">
        <v>3</v>
      </c>
      <c r="F15" s="144">
        <v>3</v>
      </c>
      <c r="G15" s="128">
        <f>IF(D15="","",IF(D15=0,"-",IF(F15&gt;D15,"ERROR",IF(E15&gt;D15,"ERROR",IF(E15&lt;D15,0,IF(E15&gt;F15,0,IF(F15=D15,1,0)))))))</f>
        <v>1</v>
      </c>
      <c r="H15" s="51" t="s">
        <v>63</v>
      </c>
      <c r="I15" s="65"/>
      <c r="J15" s="51" t="s">
        <v>62</v>
      </c>
      <c r="K15" s="46"/>
      <c r="P15" s="90" t="s">
        <v>122</v>
      </c>
    </row>
    <row r="16" spans="1:16" ht="18" customHeight="1" x14ac:dyDescent="0.3">
      <c r="A16" s="118"/>
      <c r="B16" s="137"/>
      <c r="C16" s="138"/>
      <c r="D16" s="142"/>
      <c r="E16" s="145"/>
      <c r="F16" s="145"/>
      <c r="G16" s="129"/>
      <c r="H16" s="51" t="s">
        <v>64</v>
      </c>
      <c r="I16" s="66"/>
      <c r="J16" s="51" t="s">
        <v>62</v>
      </c>
      <c r="K16" s="46"/>
      <c r="M16" s="2"/>
      <c r="N16" s="2"/>
      <c r="P16" s="90" t="s">
        <v>123</v>
      </c>
    </row>
    <row r="17" spans="1:16" ht="18" customHeight="1" x14ac:dyDescent="0.3">
      <c r="A17" s="118"/>
      <c r="B17" s="137"/>
      <c r="C17" s="138"/>
      <c r="D17" s="142"/>
      <c r="E17" s="145"/>
      <c r="F17" s="145"/>
      <c r="G17" s="129"/>
      <c r="H17" s="51" t="s">
        <v>65</v>
      </c>
      <c r="I17" s="66"/>
      <c r="J17" s="51" t="s">
        <v>62</v>
      </c>
      <c r="K17" s="46"/>
      <c r="M17" s="2"/>
      <c r="N17" s="2"/>
      <c r="P17" s="90" t="s">
        <v>14</v>
      </c>
    </row>
    <row r="18" spans="1:16" ht="18" customHeight="1" x14ac:dyDescent="0.3">
      <c r="A18" s="118"/>
      <c r="B18" s="137"/>
      <c r="C18" s="138"/>
      <c r="D18" s="142"/>
      <c r="E18" s="145"/>
      <c r="F18" s="145"/>
      <c r="G18" s="129"/>
      <c r="H18" s="51" t="s">
        <v>66</v>
      </c>
      <c r="I18" s="66"/>
      <c r="J18" s="51" t="s">
        <v>62</v>
      </c>
      <c r="K18" s="46"/>
      <c r="M18" s="2"/>
      <c r="N18" s="2"/>
      <c r="P18" s="90" t="s">
        <v>6</v>
      </c>
    </row>
    <row r="19" spans="1:16" ht="18" customHeight="1" x14ac:dyDescent="0.3">
      <c r="A19" s="118"/>
      <c r="B19" s="137"/>
      <c r="C19" s="138"/>
      <c r="D19" s="142"/>
      <c r="E19" s="145"/>
      <c r="F19" s="145"/>
      <c r="G19" s="129"/>
      <c r="H19" s="51" t="s">
        <v>67</v>
      </c>
      <c r="I19" s="62"/>
      <c r="J19" s="51" t="s">
        <v>62</v>
      </c>
      <c r="K19" s="46"/>
      <c r="M19" s="2"/>
      <c r="N19" s="2"/>
      <c r="P19" s="90" t="s">
        <v>78</v>
      </c>
    </row>
    <row r="20" spans="1:16" ht="18" customHeight="1" x14ac:dyDescent="0.3">
      <c r="A20" s="118"/>
      <c r="B20" s="137"/>
      <c r="C20" s="138"/>
      <c r="D20" s="142"/>
      <c r="E20" s="145"/>
      <c r="F20" s="145"/>
      <c r="G20" s="129"/>
      <c r="H20" s="51" t="s">
        <v>68</v>
      </c>
      <c r="I20" s="45"/>
      <c r="J20" s="51" t="s">
        <v>62</v>
      </c>
      <c r="K20" s="46"/>
      <c r="M20" s="2"/>
      <c r="N20" s="2"/>
      <c r="P20" s="90" t="s">
        <v>7</v>
      </c>
    </row>
    <row r="21" spans="1:16" ht="18.75" customHeight="1" x14ac:dyDescent="0.3">
      <c r="A21" s="118"/>
      <c r="B21" s="137"/>
      <c r="C21" s="138"/>
      <c r="D21" s="142"/>
      <c r="E21" s="145"/>
      <c r="F21" s="145"/>
      <c r="G21" s="129"/>
      <c r="H21" s="51" t="s">
        <v>69</v>
      </c>
      <c r="I21" s="45"/>
      <c r="J21" s="51" t="s">
        <v>62</v>
      </c>
      <c r="K21" s="46"/>
      <c r="L21" s="4"/>
      <c r="M21" s="2"/>
      <c r="N21" s="2"/>
      <c r="P21" s="90" t="s">
        <v>124</v>
      </c>
    </row>
    <row r="22" spans="1:16" ht="18.75" customHeight="1" x14ac:dyDescent="0.3">
      <c r="A22" s="119"/>
      <c r="B22" s="139"/>
      <c r="C22" s="140"/>
      <c r="D22" s="143"/>
      <c r="E22" s="146"/>
      <c r="F22" s="146"/>
      <c r="G22" s="130"/>
      <c r="H22" s="131"/>
      <c r="I22" s="132"/>
      <c r="J22" s="132"/>
      <c r="K22" s="133"/>
      <c r="L22" s="4"/>
      <c r="M22" s="2"/>
      <c r="N22" s="2"/>
      <c r="P22" s="90" t="s">
        <v>125</v>
      </c>
    </row>
    <row r="23" spans="1:16" ht="18" customHeight="1" x14ac:dyDescent="0.3">
      <c r="A23" s="29">
        <v>8</v>
      </c>
      <c r="B23" s="126" t="s">
        <v>21</v>
      </c>
      <c r="C23" s="127"/>
      <c r="D23" s="28">
        <v>1</v>
      </c>
      <c r="E23" s="7">
        <v>1</v>
      </c>
      <c r="F23" s="7">
        <v>1</v>
      </c>
      <c r="G23" s="22">
        <f t="shared" si="0"/>
        <v>1</v>
      </c>
      <c r="H23" s="134"/>
      <c r="I23" s="134"/>
      <c r="J23" s="134"/>
      <c r="K23" s="134"/>
      <c r="M23" s="2"/>
      <c r="N23" s="2"/>
      <c r="P23" s="90" t="s">
        <v>126</v>
      </c>
    </row>
    <row r="24" spans="1:16" ht="18" customHeight="1" x14ac:dyDescent="0.3">
      <c r="A24" s="29">
        <v>9</v>
      </c>
      <c r="B24" s="126" t="s">
        <v>20</v>
      </c>
      <c r="C24" s="127"/>
      <c r="D24" s="28">
        <v>2</v>
      </c>
      <c r="E24" s="7">
        <v>2</v>
      </c>
      <c r="F24" s="7">
        <v>2</v>
      </c>
      <c r="G24" s="22">
        <f t="shared" si="0"/>
        <v>1</v>
      </c>
      <c r="H24" s="134"/>
      <c r="I24" s="134"/>
      <c r="J24" s="134"/>
      <c r="K24" s="134"/>
      <c r="M24" s="2"/>
      <c r="N24" s="2"/>
      <c r="P24" s="90" t="s">
        <v>127</v>
      </c>
    </row>
    <row r="25" spans="1:16" ht="18" customHeight="1" x14ac:dyDescent="0.3">
      <c r="A25" s="29">
        <v>10</v>
      </c>
      <c r="B25" s="124" t="s">
        <v>8</v>
      </c>
      <c r="C25" s="125"/>
      <c r="D25" s="28">
        <v>5</v>
      </c>
      <c r="E25" s="7">
        <v>5</v>
      </c>
      <c r="F25" s="7">
        <v>5</v>
      </c>
      <c r="G25" s="22">
        <f t="shared" si="0"/>
        <v>1</v>
      </c>
      <c r="H25" s="134"/>
      <c r="I25" s="134"/>
      <c r="J25" s="134"/>
      <c r="K25" s="134"/>
      <c r="M25" s="2"/>
      <c r="N25" s="2"/>
      <c r="P25" s="90" t="s">
        <v>128</v>
      </c>
    </row>
    <row r="26" spans="1:16" ht="18" customHeight="1" x14ac:dyDescent="0.3">
      <c r="A26" s="29">
        <v>11</v>
      </c>
      <c r="B26" s="122" t="s">
        <v>132</v>
      </c>
      <c r="C26" s="123"/>
      <c r="D26" s="28">
        <v>2</v>
      </c>
      <c r="E26" s="28">
        <v>2</v>
      </c>
      <c r="F26" s="28">
        <v>2</v>
      </c>
      <c r="G26" s="22">
        <f t="shared" si="0"/>
        <v>1</v>
      </c>
      <c r="H26" s="175"/>
      <c r="I26" s="176"/>
      <c r="J26" s="176"/>
      <c r="K26" s="177"/>
      <c r="M26" s="2"/>
      <c r="N26" s="2"/>
      <c r="P26" s="90" t="s">
        <v>129</v>
      </c>
    </row>
    <row r="27" spans="1:16" ht="18" customHeight="1" x14ac:dyDescent="0.3">
      <c r="A27" s="29">
        <v>12</v>
      </c>
      <c r="B27" s="120" t="s">
        <v>60</v>
      </c>
      <c r="C27" s="121"/>
      <c r="D27" s="28">
        <v>1</v>
      </c>
      <c r="E27" s="7">
        <v>1</v>
      </c>
      <c r="F27" s="7">
        <v>1</v>
      </c>
      <c r="G27" s="22">
        <f t="shared" si="0"/>
        <v>1</v>
      </c>
      <c r="H27" s="134"/>
      <c r="I27" s="134"/>
      <c r="J27" s="134"/>
      <c r="K27" s="134"/>
      <c r="P27" s="90" t="s">
        <v>130</v>
      </c>
    </row>
    <row r="28" spans="1:16" ht="18" customHeight="1" x14ac:dyDescent="0.3">
      <c r="A28" s="29">
        <v>13</v>
      </c>
      <c r="B28" s="195" t="s">
        <v>56</v>
      </c>
      <c r="C28" s="196"/>
      <c r="D28" s="47">
        <v>1</v>
      </c>
      <c r="E28" s="7">
        <v>1</v>
      </c>
      <c r="F28" s="7">
        <v>1</v>
      </c>
      <c r="G28" s="49">
        <f t="shared" si="0"/>
        <v>1</v>
      </c>
      <c r="H28" s="197"/>
      <c r="I28" s="197"/>
      <c r="J28" s="197"/>
      <c r="K28" s="197"/>
    </row>
    <row r="29" spans="1:16" ht="18" customHeight="1" thickBot="1" x14ac:dyDescent="0.35">
      <c r="A29" s="29">
        <v>14</v>
      </c>
      <c r="B29" s="167" t="s">
        <v>70</v>
      </c>
      <c r="C29" s="207"/>
      <c r="D29" s="28">
        <v>3</v>
      </c>
      <c r="E29" s="7">
        <v>3</v>
      </c>
      <c r="F29" s="7">
        <v>3</v>
      </c>
      <c r="G29" s="22">
        <f t="shared" si="0"/>
        <v>1</v>
      </c>
      <c r="H29" s="134"/>
      <c r="I29" s="134"/>
      <c r="J29" s="134"/>
      <c r="K29" s="134"/>
    </row>
    <row r="30" spans="1:16" ht="19.5" customHeight="1" thickBot="1" x14ac:dyDescent="0.35">
      <c r="A30" s="198" t="s">
        <v>57</v>
      </c>
      <c r="B30" s="199"/>
      <c r="C30" s="199"/>
      <c r="D30" s="199"/>
      <c r="E30" s="199"/>
      <c r="F30" s="199"/>
      <c r="G30" s="200">
        <f>IFERROR(AVERAGE(G9:G28),"-")</f>
        <v>1</v>
      </c>
      <c r="H30" s="201"/>
      <c r="I30" s="201"/>
      <c r="J30" s="201"/>
      <c r="K30" s="202"/>
    </row>
    <row r="31" spans="1:16" ht="17.25" customHeight="1" x14ac:dyDescent="0.3">
      <c r="A31" s="34"/>
      <c r="E31" s="17"/>
      <c r="F31" s="35"/>
      <c r="G31" s="36"/>
      <c r="H31" s="25"/>
      <c r="I31" s="37"/>
      <c r="J31" s="23"/>
    </row>
    <row r="32" spans="1:16" ht="28.5" customHeight="1" x14ac:dyDescent="0.3">
      <c r="A32" s="193" t="s">
        <v>59</v>
      </c>
      <c r="B32" s="193"/>
      <c r="C32" s="194" t="s">
        <v>90</v>
      </c>
      <c r="D32" s="194"/>
      <c r="E32" s="38"/>
      <c r="F32" s="38"/>
      <c r="G32" s="24"/>
      <c r="H32" s="25"/>
      <c r="I32" s="26"/>
      <c r="J32" s="25"/>
    </row>
    <row r="33" spans="1:16" x14ac:dyDescent="0.3">
      <c r="A33" s="193" t="s">
        <v>61</v>
      </c>
      <c r="B33" s="193"/>
      <c r="C33" s="184" t="s">
        <v>88</v>
      </c>
      <c r="D33" s="185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92" t="s">
        <v>58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</row>
    <row r="36" spans="1:16" x14ac:dyDescent="0.3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17</v>
      </c>
      <c r="M39" s="21" t="s">
        <v>54</v>
      </c>
      <c r="N39" s="21" t="s">
        <v>53</v>
      </c>
      <c r="O39" s="42" t="s">
        <v>34</v>
      </c>
    </row>
    <row r="40" spans="1:16" ht="15.6" hidden="1" x14ac:dyDescent="0.3">
      <c r="K40" s="5" t="s">
        <v>10</v>
      </c>
      <c r="L40" s="8" t="s">
        <v>18</v>
      </c>
      <c r="M40" s="6">
        <v>0</v>
      </c>
      <c r="N40" s="44" t="s">
        <v>18</v>
      </c>
      <c r="O40" s="6" t="s">
        <v>35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19</v>
      </c>
      <c r="M41" s="15">
        <v>1</v>
      </c>
      <c r="N41" s="43" t="s">
        <v>19</v>
      </c>
      <c r="O41" s="6" t="s">
        <v>36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37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38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39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40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41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42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43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44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45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46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</sheetData>
  <sheetProtection selectLockedCells="1"/>
  <dataConsolidate/>
  <mergeCells count="49">
    <mergeCell ref="A15:A22"/>
    <mergeCell ref="B10:C10"/>
    <mergeCell ref="A1:B3"/>
    <mergeCell ref="C5:G5"/>
    <mergeCell ref="I5:J5"/>
    <mergeCell ref="B8:C8"/>
    <mergeCell ref="B9:C9"/>
    <mergeCell ref="A7:K7"/>
    <mergeCell ref="H8:K8"/>
    <mergeCell ref="H9:K9"/>
    <mergeCell ref="H10:K10"/>
    <mergeCell ref="J1:K1"/>
    <mergeCell ref="J3:K3"/>
    <mergeCell ref="C1:H3"/>
    <mergeCell ref="D15:D22"/>
    <mergeCell ref="E15:E22"/>
    <mergeCell ref="F15:F22"/>
    <mergeCell ref="B27:C27"/>
    <mergeCell ref="H23:K23"/>
    <mergeCell ref="H24:K24"/>
    <mergeCell ref="H27:K27"/>
    <mergeCell ref="H25:K25"/>
    <mergeCell ref="B25:C25"/>
    <mergeCell ref="G15:G22"/>
    <mergeCell ref="H22:K22"/>
    <mergeCell ref="B24:C24"/>
    <mergeCell ref="B23:C23"/>
    <mergeCell ref="B15:C22"/>
    <mergeCell ref="B26:C26"/>
    <mergeCell ref="H26:K26"/>
    <mergeCell ref="H11:K11"/>
    <mergeCell ref="H12:K12"/>
    <mergeCell ref="H13:K13"/>
    <mergeCell ref="H14:K14"/>
    <mergeCell ref="B12:C12"/>
    <mergeCell ref="B13:C13"/>
    <mergeCell ref="B11:C11"/>
    <mergeCell ref="B14:C14"/>
    <mergeCell ref="B28:C28"/>
    <mergeCell ref="H28:K28"/>
    <mergeCell ref="A30:F30"/>
    <mergeCell ref="G30:K30"/>
    <mergeCell ref="B29:C29"/>
    <mergeCell ref="H29:K29"/>
    <mergeCell ref="A35:K36"/>
    <mergeCell ref="A32:B32"/>
    <mergeCell ref="C32:D32"/>
    <mergeCell ref="A33:B33"/>
    <mergeCell ref="C33:D33"/>
  </mergeCells>
  <dataValidations count="4">
    <dataValidation type="list" allowBlank="1" showInputMessage="1" showErrorMessage="1" sqref="D10:D14 D23:D29 E26:F26" xr:uid="{00000000-0002-0000-0300-000000000000}">
      <formula1>$M$33:$M$49</formula1>
    </dataValidation>
    <dataValidation type="list" allowBlank="1" showInputMessage="1" showErrorMessage="1" sqref="D9" xr:uid="{00000000-0002-0000-0300-000001000000}">
      <formula1>$M$33:$M$48</formula1>
    </dataValidation>
    <dataValidation type="list" allowBlank="1" showInputMessage="1" showErrorMessage="1" sqref="D15 E9:F15 E23:F25 E27:F29" xr:uid="{00000000-0002-0000-0300-000002000000}">
      <formula1>$M$41:$M$55</formula1>
    </dataValidation>
    <dataValidation type="list" allowBlank="1" showInputMessage="1" showErrorMessage="1" sqref="C5:G5" xr:uid="{00000000-0002-0000-0300-000003000000}">
      <formula1>$P$9:$P$28</formula1>
    </dataValidation>
  </dataValidations>
  <pageMargins left="0.39370078740157483" right="0.39370078740157483" top="0.59055118110236227" bottom="0.59055118110236227" header="0.31496062992125984" footer="0.31496062992125984"/>
  <pageSetup scale="63" orientation="portrait" r:id="rId1"/>
  <headerFooter>
    <oddFooter>&amp;RPág. &amp;P -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P61"/>
  <sheetViews>
    <sheetView view="pageBreakPreview" topLeftCell="A10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31.1093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.5546875" style="2" customWidth="1" collapsed="1"/>
    <col min="12" max="12" width="14.44140625" style="2" customWidth="1" collapsed="1"/>
    <col min="13" max="14" width="11.44140625" style="6" customWidth="1" collapsed="1"/>
    <col min="15" max="15" width="11.44140625" style="2" hidden="1" customWidth="1" collapsed="1"/>
    <col min="16" max="16" width="11.44140625" style="2" customWidth="1" collapsed="1"/>
    <col min="17" max="16384" width="11.44140625" style="2" collapsed="1"/>
  </cols>
  <sheetData>
    <row r="1" spans="1:15" ht="15" customHeight="1" x14ac:dyDescent="0.3">
      <c r="A1" s="149"/>
      <c r="B1" s="149"/>
      <c r="C1" s="159" t="s">
        <v>16</v>
      </c>
      <c r="D1" s="160"/>
      <c r="E1" s="160"/>
      <c r="F1" s="160"/>
      <c r="G1" s="160"/>
      <c r="H1" s="161"/>
      <c r="I1" s="30" t="s">
        <v>25</v>
      </c>
      <c r="J1" s="210" t="s">
        <v>49</v>
      </c>
      <c r="K1" s="211"/>
    </row>
    <row r="2" spans="1:15" ht="20.2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15" x14ac:dyDescent="0.3">
      <c r="A3" s="149"/>
      <c r="B3" s="149"/>
      <c r="C3" s="159"/>
      <c r="D3" s="160"/>
      <c r="E3" s="160"/>
      <c r="F3" s="160"/>
      <c r="G3" s="160"/>
      <c r="H3" s="161"/>
      <c r="I3" s="30" t="s">
        <v>27</v>
      </c>
      <c r="J3" s="154">
        <v>42286</v>
      </c>
      <c r="K3" s="155"/>
    </row>
    <row r="4" spans="1:15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5" ht="15.75" customHeight="1" x14ac:dyDescent="0.3">
      <c r="A5" s="3"/>
      <c r="B5" s="13" t="s">
        <v>32</v>
      </c>
      <c r="C5" s="150" t="s">
        <v>12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15" ht="15.75" customHeight="1" x14ac:dyDescent="0.3">
      <c r="A6" s="18"/>
      <c r="E6" s="19"/>
      <c r="F6" s="19"/>
      <c r="G6" s="11"/>
    </row>
    <row r="7" spans="1:15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5" ht="28.8" x14ac:dyDescent="0.3">
      <c r="A8" s="48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15" ht="18" customHeight="1" x14ac:dyDescent="0.3">
      <c r="A9" s="29">
        <v>1</v>
      </c>
      <c r="B9" s="124" t="s">
        <v>29</v>
      </c>
      <c r="C9" s="125"/>
      <c r="D9" s="28">
        <v>5</v>
      </c>
      <c r="E9" s="7">
        <v>5</v>
      </c>
      <c r="F9" s="7">
        <v>5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  <c r="O9" s="2" t="s">
        <v>2</v>
      </c>
    </row>
    <row r="10" spans="1:15" ht="18" customHeight="1" x14ac:dyDescent="0.3">
      <c r="A10" s="29">
        <v>2</v>
      </c>
      <c r="B10" s="124" t="s">
        <v>28</v>
      </c>
      <c r="C10" s="125"/>
      <c r="D10" s="28">
        <v>5</v>
      </c>
      <c r="E10" s="7">
        <v>5</v>
      </c>
      <c r="F10" s="7">
        <v>5</v>
      </c>
      <c r="G10" s="22">
        <f t="shared" ref="G10:G29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O10" s="2" t="s">
        <v>48</v>
      </c>
    </row>
    <row r="11" spans="1:15" ht="18" customHeight="1" x14ac:dyDescent="0.3">
      <c r="A11" s="29">
        <v>3</v>
      </c>
      <c r="B11" s="124" t="s">
        <v>31</v>
      </c>
      <c r="C11" s="125"/>
      <c r="D11" s="28">
        <v>5</v>
      </c>
      <c r="E11" s="7">
        <v>5</v>
      </c>
      <c r="F11" s="7">
        <v>5</v>
      </c>
      <c r="G11" s="22">
        <f t="shared" si="0"/>
        <v>1</v>
      </c>
      <c r="H11" s="134"/>
      <c r="I11" s="134"/>
      <c r="J11" s="134"/>
      <c r="K11" s="134"/>
      <c r="O11" s="2" t="s">
        <v>121</v>
      </c>
    </row>
    <row r="12" spans="1:15" ht="18" customHeight="1" x14ac:dyDescent="0.3">
      <c r="A12" s="29">
        <v>4</v>
      </c>
      <c r="B12" s="124" t="s">
        <v>30</v>
      </c>
      <c r="C12" s="125"/>
      <c r="D12" s="28">
        <v>5</v>
      </c>
      <c r="E12" s="7">
        <v>5</v>
      </c>
      <c r="F12" s="7">
        <v>5</v>
      </c>
      <c r="G12" s="22">
        <f t="shared" si="0"/>
        <v>1</v>
      </c>
      <c r="H12" s="134"/>
      <c r="I12" s="134"/>
      <c r="J12" s="134"/>
      <c r="K12" s="134"/>
      <c r="O12" s="2" t="s">
        <v>13</v>
      </c>
    </row>
    <row r="13" spans="1:15" ht="18" customHeight="1" x14ac:dyDescent="0.3">
      <c r="A13" s="29">
        <v>5</v>
      </c>
      <c r="B13" s="124" t="s">
        <v>22</v>
      </c>
      <c r="C13" s="125"/>
      <c r="D13" s="28">
        <v>5</v>
      </c>
      <c r="E13" s="7">
        <v>5</v>
      </c>
      <c r="F13" s="7">
        <v>5</v>
      </c>
      <c r="G13" s="22">
        <f t="shared" si="0"/>
        <v>1</v>
      </c>
      <c r="H13" s="134"/>
      <c r="I13" s="134"/>
      <c r="J13" s="134"/>
      <c r="K13" s="134"/>
      <c r="O13" s="2" t="s">
        <v>47</v>
      </c>
    </row>
    <row r="14" spans="1:15" ht="18" customHeight="1" x14ac:dyDescent="0.3">
      <c r="A14" s="29">
        <v>6</v>
      </c>
      <c r="B14" s="126" t="s">
        <v>55</v>
      </c>
      <c r="C14" s="127"/>
      <c r="D14" s="28">
        <v>1</v>
      </c>
      <c r="E14" s="7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O14" s="2" t="s">
        <v>12</v>
      </c>
    </row>
    <row r="15" spans="1:15" ht="18" customHeight="1" x14ac:dyDescent="0.3">
      <c r="A15" s="117">
        <v>7</v>
      </c>
      <c r="B15" s="135" t="s">
        <v>24</v>
      </c>
      <c r="C15" s="136"/>
      <c r="D15" s="141">
        <v>3</v>
      </c>
      <c r="E15" s="144">
        <v>3</v>
      </c>
      <c r="F15" s="144">
        <v>3</v>
      </c>
      <c r="G15" s="128">
        <f>IF(D15="","",IF(D15=0,"-",IF(F15&gt;D15,"ERROR",IF(E15&gt;D15,"ERROR",IF(E15&lt;D15,0,IF(E15&gt;F15,0,IF(F15=D15,1,0)))))))</f>
        <v>1</v>
      </c>
      <c r="H15" s="51" t="s">
        <v>63</v>
      </c>
      <c r="I15" s="57"/>
      <c r="J15" s="51" t="s">
        <v>62</v>
      </c>
      <c r="K15" s="46"/>
      <c r="O15" s="2" t="s">
        <v>122</v>
      </c>
    </row>
    <row r="16" spans="1:15" ht="18" customHeight="1" x14ac:dyDescent="0.3">
      <c r="A16" s="118"/>
      <c r="B16" s="137"/>
      <c r="C16" s="138"/>
      <c r="D16" s="142"/>
      <c r="E16" s="145"/>
      <c r="F16" s="145"/>
      <c r="G16" s="129"/>
      <c r="H16" s="51" t="s">
        <v>64</v>
      </c>
      <c r="I16" s="57"/>
      <c r="J16" s="51" t="s">
        <v>62</v>
      </c>
      <c r="K16" s="46"/>
      <c r="M16" s="2"/>
      <c r="N16" s="2"/>
      <c r="O16" s="2" t="s">
        <v>123</v>
      </c>
    </row>
    <row r="17" spans="1:15" ht="18" customHeight="1" x14ac:dyDescent="0.3">
      <c r="A17" s="118"/>
      <c r="B17" s="137"/>
      <c r="C17" s="138"/>
      <c r="D17" s="142"/>
      <c r="E17" s="145"/>
      <c r="F17" s="145"/>
      <c r="G17" s="129"/>
      <c r="H17" s="51" t="s">
        <v>65</v>
      </c>
      <c r="I17" s="57"/>
      <c r="J17" s="51" t="s">
        <v>62</v>
      </c>
      <c r="K17" s="46"/>
      <c r="M17" s="2"/>
      <c r="N17" s="2"/>
      <c r="O17" s="2" t="s">
        <v>14</v>
      </c>
    </row>
    <row r="18" spans="1:15" ht="18" customHeight="1" x14ac:dyDescent="0.3">
      <c r="A18" s="118"/>
      <c r="B18" s="137"/>
      <c r="C18" s="138"/>
      <c r="D18" s="142"/>
      <c r="E18" s="145"/>
      <c r="F18" s="145"/>
      <c r="G18" s="129"/>
      <c r="H18" s="51" t="s">
        <v>66</v>
      </c>
      <c r="I18" s="57"/>
      <c r="J18" s="51" t="s">
        <v>62</v>
      </c>
      <c r="K18" s="46"/>
      <c r="M18" s="2"/>
      <c r="N18" s="2"/>
      <c r="O18" s="2" t="s">
        <v>6</v>
      </c>
    </row>
    <row r="19" spans="1:15" ht="18" customHeight="1" x14ac:dyDescent="0.3">
      <c r="A19" s="118"/>
      <c r="B19" s="137"/>
      <c r="C19" s="138"/>
      <c r="D19" s="142"/>
      <c r="E19" s="145"/>
      <c r="F19" s="145"/>
      <c r="G19" s="129"/>
      <c r="H19" s="51" t="s">
        <v>67</v>
      </c>
      <c r="I19" s="46"/>
      <c r="J19" s="51" t="s">
        <v>62</v>
      </c>
      <c r="K19" s="46"/>
      <c r="M19" s="2"/>
      <c r="N19" s="2"/>
      <c r="O19" s="2" t="s">
        <v>78</v>
      </c>
    </row>
    <row r="20" spans="1:15" ht="18" customHeight="1" x14ac:dyDescent="0.3">
      <c r="A20" s="118"/>
      <c r="B20" s="137"/>
      <c r="C20" s="138"/>
      <c r="D20" s="142"/>
      <c r="E20" s="145"/>
      <c r="F20" s="145"/>
      <c r="G20" s="129"/>
      <c r="H20" s="51" t="s">
        <v>68</v>
      </c>
      <c r="I20" s="45"/>
      <c r="J20" s="51" t="s">
        <v>62</v>
      </c>
      <c r="K20" s="46"/>
      <c r="M20" s="2"/>
      <c r="N20" s="2"/>
      <c r="O20" s="2" t="s">
        <v>7</v>
      </c>
    </row>
    <row r="21" spans="1:15" ht="18.75" customHeight="1" x14ac:dyDescent="0.3">
      <c r="A21" s="118"/>
      <c r="B21" s="137"/>
      <c r="C21" s="138"/>
      <c r="D21" s="142"/>
      <c r="E21" s="145"/>
      <c r="F21" s="145"/>
      <c r="G21" s="129"/>
      <c r="H21" s="51" t="s">
        <v>69</v>
      </c>
      <c r="I21" s="45"/>
      <c r="J21" s="51" t="s">
        <v>62</v>
      </c>
      <c r="K21" s="46"/>
      <c r="L21" s="4"/>
      <c r="M21" s="2"/>
      <c r="N21" s="2"/>
      <c r="O21" s="2" t="s">
        <v>124</v>
      </c>
    </row>
    <row r="22" spans="1:15" ht="18.75" customHeight="1" x14ac:dyDescent="0.3">
      <c r="A22" s="119"/>
      <c r="B22" s="139"/>
      <c r="C22" s="140"/>
      <c r="D22" s="143"/>
      <c r="E22" s="146"/>
      <c r="F22" s="146"/>
      <c r="G22" s="130"/>
      <c r="H22" s="131"/>
      <c r="I22" s="132"/>
      <c r="J22" s="132"/>
      <c r="K22" s="133"/>
      <c r="L22" s="4"/>
      <c r="M22" s="2"/>
      <c r="N22" s="2"/>
      <c r="O22" s="2" t="s">
        <v>125</v>
      </c>
    </row>
    <row r="23" spans="1:15" ht="18" customHeight="1" x14ac:dyDescent="0.3">
      <c r="A23" s="29">
        <v>8</v>
      </c>
      <c r="B23" s="126" t="s">
        <v>21</v>
      </c>
      <c r="C23" s="127"/>
      <c r="D23" s="28">
        <v>1</v>
      </c>
      <c r="E23" s="7">
        <v>1</v>
      </c>
      <c r="F23" s="7">
        <v>1</v>
      </c>
      <c r="G23" s="22">
        <f t="shared" si="0"/>
        <v>1</v>
      </c>
      <c r="H23" s="134"/>
      <c r="I23" s="134"/>
      <c r="J23" s="134"/>
      <c r="K23" s="134"/>
      <c r="M23" s="2"/>
      <c r="N23" s="2"/>
      <c r="O23" s="2" t="s">
        <v>126</v>
      </c>
    </row>
    <row r="24" spans="1:15" ht="18" customHeight="1" x14ac:dyDescent="0.3">
      <c r="A24" s="29">
        <v>9</v>
      </c>
      <c r="B24" s="126" t="s">
        <v>20</v>
      </c>
      <c r="C24" s="127"/>
      <c r="D24" s="28">
        <v>2</v>
      </c>
      <c r="E24" s="7">
        <v>2</v>
      </c>
      <c r="F24" s="7">
        <v>2</v>
      </c>
      <c r="G24" s="22">
        <f t="shared" si="0"/>
        <v>1</v>
      </c>
      <c r="H24" s="134"/>
      <c r="I24" s="134"/>
      <c r="J24" s="134"/>
      <c r="K24" s="134"/>
      <c r="M24" s="2"/>
      <c r="N24" s="2"/>
      <c r="O24" s="2" t="s">
        <v>127</v>
      </c>
    </row>
    <row r="25" spans="1:15" ht="18" customHeight="1" x14ac:dyDescent="0.3">
      <c r="A25" s="29">
        <v>10</v>
      </c>
      <c r="B25" s="124" t="s">
        <v>8</v>
      </c>
      <c r="C25" s="125"/>
      <c r="D25" s="28">
        <v>5</v>
      </c>
      <c r="E25" s="7">
        <v>5</v>
      </c>
      <c r="F25" s="7">
        <v>5</v>
      </c>
      <c r="G25" s="22">
        <f t="shared" si="0"/>
        <v>1</v>
      </c>
      <c r="H25" s="134"/>
      <c r="I25" s="134"/>
      <c r="J25" s="134"/>
      <c r="K25" s="134"/>
      <c r="M25" s="2"/>
      <c r="N25" s="2"/>
      <c r="O25" s="2" t="s">
        <v>128</v>
      </c>
    </row>
    <row r="26" spans="1:15" ht="18" customHeight="1" x14ac:dyDescent="0.3">
      <c r="A26" s="29">
        <v>11</v>
      </c>
      <c r="B26" s="122" t="s">
        <v>132</v>
      </c>
      <c r="C26" s="123"/>
      <c r="D26" s="28">
        <v>2</v>
      </c>
      <c r="E26" s="28">
        <v>2</v>
      </c>
      <c r="F26" s="28">
        <v>2</v>
      </c>
      <c r="G26" s="22">
        <f t="shared" si="0"/>
        <v>1</v>
      </c>
      <c r="H26" s="175"/>
      <c r="I26" s="176"/>
      <c r="J26" s="176"/>
      <c r="K26" s="177"/>
      <c r="M26" s="2"/>
      <c r="N26" s="2"/>
      <c r="O26" s="2" t="s">
        <v>129</v>
      </c>
    </row>
    <row r="27" spans="1:15" ht="18" customHeight="1" x14ac:dyDescent="0.3">
      <c r="A27" s="29">
        <v>12</v>
      </c>
      <c r="B27" s="120" t="s">
        <v>60</v>
      </c>
      <c r="C27" s="121"/>
      <c r="D27" s="28">
        <v>1</v>
      </c>
      <c r="E27" s="7">
        <v>1</v>
      </c>
      <c r="F27" s="7">
        <v>1</v>
      </c>
      <c r="G27" s="22">
        <f t="shared" si="0"/>
        <v>1</v>
      </c>
      <c r="H27" s="134"/>
      <c r="I27" s="134"/>
      <c r="J27" s="134"/>
      <c r="K27" s="134"/>
      <c r="O27" s="2" t="s">
        <v>130</v>
      </c>
    </row>
    <row r="28" spans="1:15" ht="18" customHeight="1" x14ac:dyDescent="0.3">
      <c r="A28" s="29">
        <v>13</v>
      </c>
      <c r="B28" s="195" t="s">
        <v>56</v>
      </c>
      <c r="C28" s="196"/>
      <c r="D28" s="47">
        <v>1</v>
      </c>
      <c r="E28" s="7">
        <v>1</v>
      </c>
      <c r="F28" s="7">
        <v>1</v>
      </c>
      <c r="G28" s="49">
        <f t="shared" si="0"/>
        <v>1</v>
      </c>
      <c r="H28" s="197"/>
      <c r="I28" s="197"/>
      <c r="J28" s="197"/>
      <c r="K28" s="197"/>
    </row>
    <row r="29" spans="1:15" ht="18" customHeight="1" thickBot="1" x14ac:dyDescent="0.35">
      <c r="A29" s="29">
        <v>14</v>
      </c>
      <c r="B29" s="203" t="s">
        <v>70</v>
      </c>
      <c r="C29" s="204"/>
      <c r="D29" s="28">
        <v>3</v>
      </c>
      <c r="E29" s="7">
        <v>3</v>
      </c>
      <c r="F29" s="7">
        <v>3</v>
      </c>
      <c r="G29" s="22">
        <f t="shared" si="0"/>
        <v>1</v>
      </c>
      <c r="H29" s="134"/>
      <c r="I29" s="134"/>
      <c r="J29" s="134"/>
      <c r="K29" s="134"/>
    </row>
    <row r="30" spans="1:15" ht="19.5" customHeight="1" thickBot="1" x14ac:dyDescent="0.35">
      <c r="A30" s="198" t="s">
        <v>57</v>
      </c>
      <c r="B30" s="199"/>
      <c r="C30" s="199"/>
      <c r="D30" s="199"/>
      <c r="E30" s="199"/>
      <c r="F30" s="209"/>
      <c r="G30" s="200">
        <f>IFERROR(AVERAGE(G9:G28),"-")</f>
        <v>1</v>
      </c>
      <c r="H30" s="201"/>
      <c r="I30" s="201"/>
      <c r="J30" s="201"/>
      <c r="K30" s="202"/>
    </row>
    <row r="31" spans="1:15" ht="17.25" customHeight="1" x14ac:dyDescent="0.3">
      <c r="A31" s="34"/>
      <c r="E31" s="17"/>
      <c r="F31" s="35"/>
      <c r="G31" s="36"/>
      <c r="H31" s="25"/>
      <c r="I31" s="37"/>
      <c r="J31" s="23"/>
    </row>
    <row r="32" spans="1:15" ht="28.5" customHeight="1" x14ac:dyDescent="0.3">
      <c r="A32" s="186" t="s">
        <v>59</v>
      </c>
      <c r="B32" s="187"/>
      <c r="C32" s="194" t="s">
        <v>149</v>
      </c>
      <c r="D32" s="194"/>
      <c r="E32" s="38"/>
      <c r="F32" s="38"/>
      <c r="G32" s="24"/>
      <c r="H32" s="25"/>
      <c r="I32" s="26"/>
      <c r="J32" s="25"/>
    </row>
    <row r="33" spans="1:16" x14ac:dyDescent="0.3">
      <c r="A33" s="186" t="s">
        <v>61</v>
      </c>
      <c r="B33" s="187"/>
      <c r="C33" s="184" t="s">
        <v>92</v>
      </c>
      <c r="D33" s="185"/>
      <c r="E33" s="39"/>
      <c r="F33" s="39"/>
      <c r="G33" s="27"/>
      <c r="H33" s="26"/>
      <c r="I33" s="26"/>
      <c r="J33" s="25"/>
    </row>
    <row r="34" spans="1:16" ht="15" customHeight="1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78" t="s">
        <v>58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80"/>
    </row>
    <row r="36" spans="1:16" x14ac:dyDescent="0.3">
      <c r="A36" s="181"/>
      <c r="B36" s="182"/>
      <c r="C36" s="182"/>
      <c r="D36" s="182"/>
      <c r="E36" s="182"/>
      <c r="F36" s="182"/>
      <c r="G36" s="182"/>
      <c r="H36" s="182"/>
      <c r="I36" s="182"/>
      <c r="J36" s="182"/>
      <c r="K36" s="183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17</v>
      </c>
      <c r="M39" s="21" t="s">
        <v>54</v>
      </c>
      <c r="N39" s="21" t="s">
        <v>53</v>
      </c>
      <c r="O39" s="42" t="s">
        <v>34</v>
      </c>
    </row>
    <row r="40" spans="1:16" ht="15.6" hidden="1" x14ac:dyDescent="0.3">
      <c r="K40" s="5" t="s">
        <v>10</v>
      </c>
      <c r="L40" s="8" t="s">
        <v>18</v>
      </c>
      <c r="M40" s="6">
        <v>0</v>
      </c>
      <c r="N40" s="44" t="s">
        <v>18</v>
      </c>
      <c r="O40" s="6" t="s">
        <v>35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19</v>
      </c>
      <c r="M41" s="15">
        <v>1</v>
      </c>
      <c r="N41" s="43" t="s">
        <v>19</v>
      </c>
      <c r="O41" s="6" t="s">
        <v>36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37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38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39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40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41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42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43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44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45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46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</sheetData>
  <sheetProtection selectLockedCells="1"/>
  <dataConsolidate/>
  <mergeCells count="49">
    <mergeCell ref="H26:K26"/>
    <mergeCell ref="B12:C12"/>
    <mergeCell ref="B13:C13"/>
    <mergeCell ref="B14:C14"/>
    <mergeCell ref="H12:K12"/>
    <mergeCell ref="H13:K13"/>
    <mergeCell ref="H14:K14"/>
    <mergeCell ref="A1:B3"/>
    <mergeCell ref="C5:G5"/>
    <mergeCell ref="I5:J5"/>
    <mergeCell ref="J1:K1"/>
    <mergeCell ref="J3:K3"/>
    <mergeCell ref="C1:H3"/>
    <mergeCell ref="A7:K7"/>
    <mergeCell ref="H8:K8"/>
    <mergeCell ref="H9:K9"/>
    <mergeCell ref="H10:K10"/>
    <mergeCell ref="H11:K11"/>
    <mergeCell ref="B10:C10"/>
    <mergeCell ref="B8:C8"/>
    <mergeCell ref="B9:C9"/>
    <mergeCell ref="B11:C11"/>
    <mergeCell ref="B27:C27"/>
    <mergeCell ref="H27:K27"/>
    <mergeCell ref="H25:K25"/>
    <mergeCell ref="B25:C25"/>
    <mergeCell ref="A15:A22"/>
    <mergeCell ref="B15:C22"/>
    <mergeCell ref="D15:D22"/>
    <mergeCell ref="E15:E22"/>
    <mergeCell ref="F15:F22"/>
    <mergeCell ref="G15:G22"/>
    <mergeCell ref="H22:K22"/>
    <mergeCell ref="B24:C24"/>
    <mergeCell ref="B23:C23"/>
    <mergeCell ref="H23:K23"/>
    <mergeCell ref="H24:K24"/>
    <mergeCell ref="B26:C26"/>
    <mergeCell ref="B28:C28"/>
    <mergeCell ref="H28:K28"/>
    <mergeCell ref="A30:F30"/>
    <mergeCell ref="G30:K30"/>
    <mergeCell ref="B29:C29"/>
    <mergeCell ref="H29:K29"/>
    <mergeCell ref="A32:B32"/>
    <mergeCell ref="C32:D32"/>
    <mergeCell ref="A33:B33"/>
    <mergeCell ref="C33:D33"/>
    <mergeCell ref="A35:K36"/>
  </mergeCells>
  <dataValidations count="4">
    <dataValidation type="list" allowBlank="1" showInputMessage="1" showErrorMessage="1" sqref="D10:D14 D23:D29 E26:F26" xr:uid="{00000000-0002-0000-0400-000000000000}">
      <formula1>$M$33:$M$49</formula1>
    </dataValidation>
    <dataValidation type="list" allowBlank="1" showInputMessage="1" showErrorMessage="1" sqref="D9" xr:uid="{00000000-0002-0000-0400-000001000000}">
      <formula1>$M$33:$M$48</formula1>
    </dataValidation>
    <dataValidation type="list" allowBlank="1" showInputMessage="1" showErrorMessage="1" sqref="D15 E9:F15 E23:F25 E27:F29" xr:uid="{00000000-0002-0000-0400-000002000000}">
      <formula1>$M$41:$M$55</formula1>
    </dataValidation>
    <dataValidation type="list" allowBlank="1" showInputMessage="1" showErrorMessage="1" sqref="C5:G5" xr:uid="{00000000-0002-0000-0400-000003000000}">
      <formula1>$O$9:$O$27</formula1>
    </dataValidation>
  </dataValidations>
  <pageMargins left="0.39370078740157483" right="0.39370078740157483" top="0.59055118110236227" bottom="0.59055118110236227" header="0.31496062992125984" footer="0.31496062992125984"/>
  <pageSetup scale="67" orientation="portrait" r:id="rId1"/>
  <headerFooter>
    <oddFooter>&amp;RPág. &amp;P -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P61"/>
  <sheetViews>
    <sheetView view="pageBreakPreview" topLeftCell="A10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30.55468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.33203125" style="2" customWidth="1" collapsed="1"/>
    <col min="12" max="12" width="14.44140625" style="2" customWidth="1" collapsed="1"/>
    <col min="13" max="14" width="11.44140625" style="6" customWidth="1" collapsed="1"/>
    <col min="15" max="15" width="11.44140625" style="2" customWidth="1" collapsed="1"/>
    <col min="16" max="16" width="11.44140625" style="2" hidden="1" customWidth="1" collapsed="1"/>
    <col min="17" max="16384" width="11.44140625" style="2" collapsed="1"/>
  </cols>
  <sheetData>
    <row r="1" spans="1:16" ht="15" customHeight="1" x14ac:dyDescent="0.3">
      <c r="A1" s="149"/>
      <c r="B1" s="149"/>
      <c r="C1" s="159" t="s">
        <v>16</v>
      </c>
      <c r="D1" s="160"/>
      <c r="E1" s="160"/>
      <c r="F1" s="160"/>
      <c r="G1" s="160"/>
      <c r="H1" s="161"/>
      <c r="I1" s="30" t="s">
        <v>25</v>
      </c>
      <c r="J1" s="212" t="s">
        <v>49</v>
      </c>
      <c r="K1" s="213"/>
    </row>
    <row r="2" spans="1:16" ht="20.2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16" x14ac:dyDescent="0.3">
      <c r="A3" s="149"/>
      <c r="B3" s="149"/>
      <c r="C3" s="159"/>
      <c r="D3" s="160"/>
      <c r="E3" s="160"/>
      <c r="F3" s="160"/>
      <c r="G3" s="160"/>
      <c r="H3" s="161"/>
      <c r="I3" s="30" t="s">
        <v>27</v>
      </c>
      <c r="J3" s="154">
        <v>42286</v>
      </c>
      <c r="K3" s="155"/>
    </row>
    <row r="4" spans="1:16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6" ht="15.75" customHeight="1" x14ac:dyDescent="0.3">
      <c r="A5" s="3"/>
      <c r="B5" s="13" t="s">
        <v>32</v>
      </c>
      <c r="C5" s="150" t="s">
        <v>3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16" ht="15.75" customHeight="1" x14ac:dyDescent="0.3">
      <c r="A6" s="18"/>
      <c r="E6" s="19"/>
      <c r="F6" s="19"/>
      <c r="G6" s="11"/>
    </row>
    <row r="7" spans="1:16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6" ht="28.8" x14ac:dyDescent="0.3">
      <c r="A8" s="48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16" ht="18" customHeight="1" x14ac:dyDescent="0.3">
      <c r="A9" s="29">
        <v>1</v>
      </c>
      <c r="B9" s="124" t="s">
        <v>29</v>
      </c>
      <c r="C9" s="125"/>
      <c r="D9" s="28">
        <v>4</v>
      </c>
      <c r="E9" s="7">
        <v>4</v>
      </c>
      <c r="F9" s="7">
        <v>4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  <c r="P9" s="2" t="s">
        <v>2</v>
      </c>
    </row>
    <row r="10" spans="1:16" ht="18" customHeight="1" x14ac:dyDescent="0.3">
      <c r="A10" s="29">
        <v>2</v>
      </c>
      <c r="B10" s="124" t="s">
        <v>28</v>
      </c>
      <c r="C10" s="125"/>
      <c r="D10" s="28">
        <v>4</v>
      </c>
      <c r="E10" s="7">
        <v>4</v>
      </c>
      <c r="F10" s="7">
        <v>4</v>
      </c>
      <c r="G10" s="22">
        <f t="shared" ref="G10:G29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P10" s="2" t="s">
        <v>48</v>
      </c>
    </row>
    <row r="11" spans="1:16" ht="18" customHeight="1" x14ac:dyDescent="0.3">
      <c r="A11" s="29">
        <v>3</v>
      </c>
      <c r="B11" s="124" t="s">
        <v>31</v>
      </c>
      <c r="C11" s="125"/>
      <c r="D11" s="28">
        <v>4</v>
      </c>
      <c r="E11" s="7">
        <v>4</v>
      </c>
      <c r="F11" s="7">
        <v>4</v>
      </c>
      <c r="G11" s="22">
        <f t="shared" si="0"/>
        <v>1</v>
      </c>
      <c r="H11" s="134"/>
      <c r="I11" s="134"/>
      <c r="J11" s="134"/>
      <c r="K11" s="134"/>
      <c r="P11" s="2" t="s">
        <v>121</v>
      </c>
    </row>
    <row r="12" spans="1:16" ht="18" customHeight="1" x14ac:dyDescent="0.3">
      <c r="A12" s="29">
        <v>4</v>
      </c>
      <c r="B12" s="124" t="s">
        <v>30</v>
      </c>
      <c r="C12" s="125"/>
      <c r="D12" s="28">
        <v>4</v>
      </c>
      <c r="E12" s="7">
        <v>4</v>
      </c>
      <c r="F12" s="7">
        <v>4</v>
      </c>
      <c r="G12" s="22">
        <f t="shared" si="0"/>
        <v>1</v>
      </c>
      <c r="H12" s="134"/>
      <c r="I12" s="134"/>
      <c r="J12" s="134"/>
      <c r="K12" s="134"/>
      <c r="P12" s="2" t="s">
        <v>13</v>
      </c>
    </row>
    <row r="13" spans="1:16" ht="18" customHeight="1" x14ac:dyDescent="0.3">
      <c r="A13" s="29">
        <v>5</v>
      </c>
      <c r="B13" s="124" t="s">
        <v>22</v>
      </c>
      <c r="C13" s="125"/>
      <c r="D13" s="28">
        <v>4</v>
      </c>
      <c r="E13" s="7">
        <v>4</v>
      </c>
      <c r="F13" s="7">
        <v>4</v>
      </c>
      <c r="G13" s="22">
        <f t="shared" si="0"/>
        <v>1</v>
      </c>
      <c r="H13" s="134"/>
      <c r="I13" s="134"/>
      <c r="J13" s="134"/>
      <c r="K13" s="134"/>
      <c r="P13" s="2" t="s">
        <v>47</v>
      </c>
    </row>
    <row r="14" spans="1:16" ht="18" customHeight="1" x14ac:dyDescent="0.3">
      <c r="A14" s="29">
        <v>6</v>
      </c>
      <c r="B14" s="126" t="s">
        <v>55</v>
      </c>
      <c r="C14" s="127"/>
      <c r="D14" s="28">
        <v>1</v>
      </c>
      <c r="E14" s="7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P14" s="2" t="s">
        <v>12</v>
      </c>
    </row>
    <row r="15" spans="1:16" ht="18" customHeight="1" x14ac:dyDescent="0.3">
      <c r="A15" s="117">
        <v>7</v>
      </c>
      <c r="B15" s="135" t="s">
        <v>24</v>
      </c>
      <c r="C15" s="136"/>
      <c r="D15" s="141">
        <v>2</v>
      </c>
      <c r="E15" s="144">
        <v>2</v>
      </c>
      <c r="F15" s="144">
        <v>2</v>
      </c>
      <c r="G15" s="128">
        <f>IF(D15="","",IF(D15=0,"-",IF(F15&gt;D15,"ERROR",IF(E15&gt;D15,"ERROR",IF(E15&lt;D15,0,IF(E15&gt;F15,0,IF(F15=D15,1,0)))))))</f>
        <v>1</v>
      </c>
      <c r="H15" s="51" t="s">
        <v>63</v>
      </c>
      <c r="I15" s="6"/>
      <c r="J15" s="51" t="s">
        <v>62</v>
      </c>
      <c r="P15" s="2" t="s">
        <v>122</v>
      </c>
    </row>
    <row r="16" spans="1:16" ht="18" customHeight="1" x14ac:dyDescent="0.3">
      <c r="A16" s="118"/>
      <c r="B16" s="137"/>
      <c r="C16" s="138"/>
      <c r="D16" s="142"/>
      <c r="E16" s="145"/>
      <c r="F16" s="145"/>
      <c r="G16" s="129"/>
      <c r="H16" s="51" t="s">
        <v>64</v>
      </c>
      <c r="I16" s="57"/>
      <c r="J16" s="51" t="s">
        <v>62</v>
      </c>
      <c r="K16" s="46"/>
      <c r="M16" s="2"/>
      <c r="N16" s="2"/>
      <c r="P16" s="2" t="s">
        <v>123</v>
      </c>
    </row>
    <row r="17" spans="1:16" ht="18" customHeight="1" x14ac:dyDescent="0.3">
      <c r="A17" s="118"/>
      <c r="B17" s="137"/>
      <c r="C17" s="138"/>
      <c r="D17" s="142"/>
      <c r="E17" s="145"/>
      <c r="F17" s="145"/>
      <c r="G17" s="129"/>
      <c r="H17" s="51" t="s">
        <v>65</v>
      </c>
      <c r="I17" s="57"/>
      <c r="J17" s="51" t="s">
        <v>62</v>
      </c>
      <c r="K17" s="46"/>
      <c r="M17" s="2"/>
      <c r="N17" s="2"/>
      <c r="P17" s="2" t="s">
        <v>14</v>
      </c>
    </row>
    <row r="18" spans="1:16" ht="18" customHeight="1" x14ac:dyDescent="0.3">
      <c r="A18" s="118"/>
      <c r="B18" s="137"/>
      <c r="C18" s="138"/>
      <c r="D18" s="142"/>
      <c r="E18" s="145"/>
      <c r="F18" s="145"/>
      <c r="G18" s="129"/>
      <c r="H18" s="51" t="s">
        <v>66</v>
      </c>
      <c r="J18" s="51" t="s">
        <v>62</v>
      </c>
      <c r="K18" s="46"/>
      <c r="M18" s="2"/>
      <c r="N18" s="2"/>
      <c r="P18" s="2" t="s">
        <v>6</v>
      </c>
    </row>
    <row r="19" spans="1:16" ht="18" customHeight="1" x14ac:dyDescent="0.3">
      <c r="A19" s="118"/>
      <c r="B19" s="137"/>
      <c r="C19" s="138"/>
      <c r="D19" s="142"/>
      <c r="E19" s="145"/>
      <c r="F19" s="145"/>
      <c r="G19" s="129"/>
      <c r="H19" s="51" t="s">
        <v>67</v>
      </c>
      <c r="I19" s="46"/>
      <c r="J19" s="51" t="s">
        <v>62</v>
      </c>
      <c r="K19" s="46"/>
      <c r="M19" s="2"/>
      <c r="N19" s="2"/>
      <c r="P19" s="2" t="s">
        <v>78</v>
      </c>
    </row>
    <row r="20" spans="1:16" ht="18" customHeight="1" x14ac:dyDescent="0.3">
      <c r="A20" s="118"/>
      <c r="B20" s="137"/>
      <c r="C20" s="138"/>
      <c r="D20" s="142"/>
      <c r="E20" s="145"/>
      <c r="F20" s="145"/>
      <c r="G20" s="129"/>
      <c r="H20" s="51" t="s">
        <v>68</v>
      </c>
      <c r="I20" s="45"/>
      <c r="J20" s="51" t="s">
        <v>62</v>
      </c>
      <c r="K20" s="46"/>
      <c r="M20" s="2"/>
      <c r="N20" s="2"/>
      <c r="P20" s="2" t="s">
        <v>7</v>
      </c>
    </row>
    <row r="21" spans="1:16" ht="18.75" customHeight="1" x14ac:dyDescent="0.3">
      <c r="A21" s="118"/>
      <c r="B21" s="137"/>
      <c r="C21" s="138"/>
      <c r="D21" s="142"/>
      <c r="E21" s="145"/>
      <c r="F21" s="145"/>
      <c r="G21" s="129"/>
      <c r="H21" s="51" t="s">
        <v>69</v>
      </c>
      <c r="I21" s="45"/>
      <c r="J21" s="51" t="s">
        <v>62</v>
      </c>
      <c r="K21" s="46"/>
      <c r="L21" s="4"/>
      <c r="M21" s="2"/>
      <c r="N21" s="2"/>
      <c r="P21" s="2" t="s">
        <v>124</v>
      </c>
    </row>
    <row r="22" spans="1:16" ht="18.75" customHeight="1" x14ac:dyDescent="0.3">
      <c r="A22" s="119"/>
      <c r="B22" s="139"/>
      <c r="C22" s="140"/>
      <c r="D22" s="143"/>
      <c r="E22" s="146"/>
      <c r="F22" s="146"/>
      <c r="G22" s="130"/>
      <c r="H22" s="131" t="s">
        <v>136</v>
      </c>
      <c r="I22" s="132"/>
      <c r="J22" s="132"/>
      <c r="K22" s="133"/>
      <c r="L22" s="4"/>
      <c r="M22" s="2"/>
      <c r="N22" s="2"/>
      <c r="P22" s="2" t="s">
        <v>125</v>
      </c>
    </row>
    <row r="23" spans="1:16" ht="18" customHeight="1" x14ac:dyDescent="0.3">
      <c r="A23" s="29">
        <v>8</v>
      </c>
      <c r="B23" s="126" t="s">
        <v>21</v>
      </c>
      <c r="C23" s="127"/>
      <c r="D23" s="28">
        <v>1</v>
      </c>
      <c r="E23" s="7">
        <v>1</v>
      </c>
      <c r="F23" s="7">
        <v>1</v>
      </c>
      <c r="G23" s="22">
        <f t="shared" si="0"/>
        <v>1</v>
      </c>
      <c r="H23" s="134"/>
      <c r="I23" s="134"/>
      <c r="J23" s="134"/>
      <c r="K23" s="134"/>
      <c r="M23" s="2"/>
      <c r="N23" s="2"/>
      <c r="P23" s="2" t="s">
        <v>126</v>
      </c>
    </row>
    <row r="24" spans="1:16" ht="18" customHeight="1" x14ac:dyDescent="0.3">
      <c r="A24" s="29">
        <v>9</v>
      </c>
      <c r="B24" s="126" t="s">
        <v>20</v>
      </c>
      <c r="C24" s="127"/>
      <c r="D24" s="28">
        <v>1</v>
      </c>
      <c r="E24" s="7">
        <v>1</v>
      </c>
      <c r="F24" s="7">
        <v>1</v>
      </c>
      <c r="G24" s="22">
        <f t="shared" si="0"/>
        <v>1</v>
      </c>
      <c r="H24" s="134"/>
      <c r="I24" s="134"/>
      <c r="J24" s="134"/>
      <c r="K24" s="134"/>
      <c r="M24" s="2"/>
      <c r="N24" s="2"/>
      <c r="P24" s="2" t="s">
        <v>127</v>
      </c>
    </row>
    <row r="25" spans="1:16" ht="18" customHeight="1" x14ac:dyDescent="0.3">
      <c r="A25" s="29">
        <v>10</v>
      </c>
      <c r="B25" s="124" t="s">
        <v>8</v>
      </c>
      <c r="C25" s="125"/>
      <c r="D25" s="28">
        <v>4</v>
      </c>
      <c r="E25" s="7">
        <v>4</v>
      </c>
      <c r="F25" s="7">
        <v>4</v>
      </c>
      <c r="G25" s="22">
        <f t="shared" si="0"/>
        <v>1</v>
      </c>
      <c r="H25" s="134"/>
      <c r="I25" s="134"/>
      <c r="J25" s="134"/>
      <c r="K25" s="134"/>
      <c r="M25" s="2"/>
      <c r="N25" s="2"/>
      <c r="P25" s="2" t="s">
        <v>128</v>
      </c>
    </row>
    <row r="26" spans="1:16" ht="18" customHeight="1" x14ac:dyDescent="0.3">
      <c r="A26" s="29">
        <v>11</v>
      </c>
      <c r="B26" s="122" t="s">
        <v>132</v>
      </c>
      <c r="C26" s="123"/>
      <c r="D26" s="28">
        <v>1</v>
      </c>
      <c r="E26" s="28">
        <v>1</v>
      </c>
      <c r="F26" s="28">
        <v>1</v>
      </c>
      <c r="G26" s="22">
        <f t="shared" si="0"/>
        <v>1</v>
      </c>
      <c r="H26" s="175"/>
      <c r="I26" s="176"/>
      <c r="J26" s="176"/>
      <c r="K26" s="177"/>
      <c r="M26" s="2"/>
      <c r="N26" s="2"/>
      <c r="P26" s="2" t="s">
        <v>129</v>
      </c>
    </row>
    <row r="27" spans="1:16" ht="18" customHeight="1" x14ac:dyDescent="0.3">
      <c r="A27" s="29">
        <v>12</v>
      </c>
      <c r="B27" s="120" t="s">
        <v>60</v>
      </c>
      <c r="C27" s="121"/>
      <c r="D27" s="28">
        <v>1</v>
      </c>
      <c r="E27" s="7">
        <v>1</v>
      </c>
      <c r="F27" s="7">
        <v>1</v>
      </c>
      <c r="G27" s="22">
        <f t="shared" si="0"/>
        <v>1</v>
      </c>
      <c r="H27" s="134"/>
      <c r="I27" s="134"/>
      <c r="J27" s="134"/>
      <c r="K27" s="134"/>
      <c r="P27" s="2" t="s">
        <v>130</v>
      </c>
    </row>
    <row r="28" spans="1:16" ht="18" customHeight="1" x14ac:dyDescent="0.3">
      <c r="A28" s="29">
        <v>13</v>
      </c>
      <c r="B28" s="195" t="s">
        <v>56</v>
      </c>
      <c r="C28" s="196"/>
      <c r="D28" s="47">
        <v>1</v>
      </c>
      <c r="E28" s="7">
        <v>1</v>
      </c>
      <c r="F28" s="7">
        <v>1</v>
      </c>
      <c r="G28" s="49">
        <f t="shared" si="0"/>
        <v>1</v>
      </c>
      <c r="H28" s="197"/>
      <c r="I28" s="197"/>
      <c r="J28" s="197"/>
      <c r="K28" s="197"/>
    </row>
    <row r="29" spans="1:16" ht="18" customHeight="1" thickBot="1" x14ac:dyDescent="0.35">
      <c r="A29" s="29">
        <v>14</v>
      </c>
      <c r="B29" s="203" t="s">
        <v>70</v>
      </c>
      <c r="C29" s="204"/>
      <c r="D29" s="28">
        <v>2</v>
      </c>
      <c r="E29" s="7">
        <v>2</v>
      </c>
      <c r="F29" s="7">
        <v>2</v>
      </c>
      <c r="G29" s="22">
        <f t="shared" si="0"/>
        <v>1</v>
      </c>
      <c r="H29" s="134"/>
      <c r="I29" s="134"/>
      <c r="J29" s="134"/>
      <c r="K29" s="134"/>
    </row>
    <row r="30" spans="1:16" ht="19.5" customHeight="1" thickBot="1" x14ac:dyDescent="0.35">
      <c r="A30" s="198" t="s">
        <v>57</v>
      </c>
      <c r="B30" s="199"/>
      <c r="C30" s="199"/>
      <c r="D30" s="199"/>
      <c r="E30" s="199"/>
      <c r="F30" s="199"/>
      <c r="G30" s="200">
        <f>IFERROR(AVERAGE(G9:G28),"-")</f>
        <v>1</v>
      </c>
      <c r="H30" s="201"/>
      <c r="I30" s="201"/>
      <c r="J30" s="201"/>
      <c r="K30" s="202"/>
    </row>
    <row r="31" spans="1:16" ht="17.25" customHeight="1" x14ac:dyDescent="0.3">
      <c r="A31" s="34"/>
      <c r="E31" s="17"/>
      <c r="F31" s="35"/>
      <c r="G31" s="36"/>
      <c r="H31" s="25"/>
      <c r="I31" s="37"/>
      <c r="J31" s="23"/>
    </row>
    <row r="32" spans="1:16" x14ac:dyDescent="0.3">
      <c r="A32" s="193" t="s">
        <v>59</v>
      </c>
      <c r="B32" s="193"/>
      <c r="C32" s="194" t="s">
        <v>154</v>
      </c>
      <c r="D32" s="194"/>
      <c r="E32" s="38"/>
      <c r="F32" s="38"/>
      <c r="G32" s="24"/>
      <c r="H32" s="25"/>
      <c r="I32" s="26"/>
      <c r="J32" s="25"/>
    </row>
    <row r="33" spans="1:16" ht="28.5" customHeight="1" x14ac:dyDescent="0.3">
      <c r="A33" s="193" t="s">
        <v>61</v>
      </c>
      <c r="B33" s="193"/>
      <c r="C33" s="184" t="s">
        <v>85</v>
      </c>
      <c r="D33" s="185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92" t="s">
        <v>58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</row>
    <row r="36" spans="1:16" x14ac:dyDescent="0.3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17</v>
      </c>
      <c r="M39" s="21" t="s">
        <v>54</v>
      </c>
      <c r="N39" s="21" t="s">
        <v>53</v>
      </c>
      <c r="O39" s="42" t="s">
        <v>34</v>
      </c>
    </row>
    <row r="40" spans="1:16" ht="15.6" hidden="1" x14ac:dyDescent="0.3">
      <c r="K40" s="5" t="s">
        <v>10</v>
      </c>
      <c r="L40" s="8" t="s">
        <v>18</v>
      </c>
      <c r="M40" s="6">
        <v>0</v>
      </c>
      <c r="N40" s="44" t="s">
        <v>18</v>
      </c>
      <c r="O40" s="6" t="s">
        <v>35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19</v>
      </c>
      <c r="M41" s="15">
        <v>1</v>
      </c>
      <c r="N41" s="43" t="s">
        <v>19</v>
      </c>
      <c r="O41" s="6" t="s">
        <v>36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37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38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39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40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41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42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43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44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45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46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</sheetData>
  <sheetProtection selectLockedCells="1"/>
  <dataConsolidate/>
  <mergeCells count="49">
    <mergeCell ref="H26:K26"/>
    <mergeCell ref="B12:C12"/>
    <mergeCell ref="B13:C13"/>
    <mergeCell ref="B14:C14"/>
    <mergeCell ref="H12:K12"/>
    <mergeCell ref="H13:K13"/>
    <mergeCell ref="H14:K14"/>
    <mergeCell ref="A1:B3"/>
    <mergeCell ref="C5:G5"/>
    <mergeCell ref="I5:J5"/>
    <mergeCell ref="J1:K1"/>
    <mergeCell ref="J3:K3"/>
    <mergeCell ref="C1:H3"/>
    <mergeCell ref="A7:K7"/>
    <mergeCell ref="H8:K8"/>
    <mergeCell ref="H9:K9"/>
    <mergeCell ref="H10:K10"/>
    <mergeCell ref="H11:K11"/>
    <mergeCell ref="B10:C10"/>
    <mergeCell ref="B8:C8"/>
    <mergeCell ref="B9:C9"/>
    <mergeCell ref="B11:C11"/>
    <mergeCell ref="B27:C27"/>
    <mergeCell ref="H27:K27"/>
    <mergeCell ref="H25:K25"/>
    <mergeCell ref="B25:C25"/>
    <mergeCell ref="A15:A22"/>
    <mergeCell ref="B15:C22"/>
    <mergeCell ref="D15:D22"/>
    <mergeCell ref="E15:E22"/>
    <mergeCell ref="F15:F22"/>
    <mergeCell ref="G15:G22"/>
    <mergeCell ref="H22:K22"/>
    <mergeCell ref="B24:C24"/>
    <mergeCell ref="B23:C23"/>
    <mergeCell ref="H23:K23"/>
    <mergeCell ref="H24:K24"/>
    <mergeCell ref="B26:C26"/>
    <mergeCell ref="B28:C28"/>
    <mergeCell ref="H28:K28"/>
    <mergeCell ref="A30:F30"/>
    <mergeCell ref="G30:K30"/>
    <mergeCell ref="B29:C29"/>
    <mergeCell ref="H29:K29"/>
    <mergeCell ref="A32:B32"/>
    <mergeCell ref="C32:D32"/>
    <mergeCell ref="A33:B33"/>
    <mergeCell ref="C33:D33"/>
    <mergeCell ref="A35:K36"/>
  </mergeCells>
  <dataValidations count="5">
    <dataValidation type="list" allowBlank="1" showInputMessage="1" showErrorMessage="1" sqref="D10:D14 D23:D25 D27:D28" xr:uid="{00000000-0002-0000-0500-000000000000}">
      <formula1>$M$34:$M$50</formula1>
    </dataValidation>
    <dataValidation type="list" allowBlank="1" showInputMessage="1" showErrorMessage="1" sqref="D9" xr:uid="{00000000-0002-0000-0500-000001000000}">
      <formula1>$M$34:$M$49</formula1>
    </dataValidation>
    <dataValidation type="list" allowBlank="1" showInputMessage="1" showErrorMessage="1" sqref="D15 E9:F15 E23:F25 E27:F29" xr:uid="{00000000-0002-0000-0500-000002000000}">
      <formula1>$M$41:$M$55</formula1>
    </dataValidation>
    <dataValidation type="list" allowBlank="1" showInputMessage="1" showErrorMessage="1" sqref="D29 D26:F26" xr:uid="{00000000-0002-0000-0500-000003000000}">
      <formula1>$M$33:$M$49</formula1>
    </dataValidation>
    <dataValidation type="list" allowBlank="1" showInputMessage="1" showErrorMessage="1" sqref="C5:G5" xr:uid="{00000000-0002-0000-0500-000004000000}">
      <formula1>$P$9:$P$27</formula1>
    </dataValidation>
  </dataValidations>
  <pageMargins left="0.39370078740157483" right="0.39370078740157483" top="0.59055118110236227" bottom="0.59055118110236227" header="0.31496062992125984" footer="0.31496062992125984"/>
  <pageSetup scale="67" orientation="portrait" r:id="rId1"/>
  <headerFooter>
    <oddFooter>&amp;RPág. &amp;P -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R61"/>
  <sheetViews>
    <sheetView view="pageBreakPreview" topLeftCell="A10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30.1093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3.5546875" style="2" customWidth="1" collapsed="1"/>
    <col min="12" max="12" width="14.44140625" style="2" customWidth="1" collapsed="1"/>
    <col min="13" max="14" width="11.44140625" style="6" customWidth="1" collapsed="1"/>
    <col min="15" max="16" width="11.44140625" style="2" customWidth="1" collapsed="1"/>
    <col min="17" max="17" width="11.44140625" style="2" collapsed="1"/>
    <col min="18" max="18" width="0" style="2" hidden="1" customWidth="1" collapsed="1"/>
    <col min="19" max="16384" width="11.44140625" style="2" collapsed="1"/>
  </cols>
  <sheetData>
    <row r="1" spans="1:18" ht="15" customHeight="1" x14ac:dyDescent="0.3">
      <c r="A1" s="149"/>
      <c r="B1" s="149"/>
      <c r="C1" s="156" t="s">
        <v>16</v>
      </c>
      <c r="D1" s="157"/>
      <c r="E1" s="157"/>
      <c r="F1" s="157"/>
      <c r="G1" s="157"/>
      <c r="H1" s="158"/>
      <c r="I1" s="30" t="s">
        <v>25</v>
      </c>
      <c r="J1" s="212" t="s">
        <v>49</v>
      </c>
      <c r="K1" s="213"/>
    </row>
    <row r="2" spans="1:18" ht="20.2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18" x14ac:dyDescent="0.3">
      <c r="A3" s="149"/>
      <c r="B3" s="149"/>
      <c r="C3" s="162"/>
      <c r="D3" s="163"/>
      <c r="E3" s="163"/>
      <c r="F3" s="163"/>
      <c r="G3" s="163"/>
      <c r="H3" s="164"/>
      <c r="I3" s="30" t="s">
        <v>27</v>
      </c>
      <c r="J3" s="154">
        <v>42286</v>
      </c>
      <c r="K3" s="155"/>
    </row>
    <row r="4" spans="1:18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8" ht="15.75" customHeight="1" x14ac:dyDescent="0.3">
      <c r="A5" s="3"/>
      <c r="B5" s="13" t="s">
        <v>32</v>
      </c>
      <c r="C5" s="150" t="s">
        <v>6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18" ht="15.75" customHeight="1" x14ac:dyDescent="0.3">
      <c r="A6" s="18"/>
      <c r="E6" s="19"/>
      <c r="F6" s="19"/>
      <c r="G6" s="11"/>
    </row>
    <row r="7" spans="1:18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8" ht="28.8" x14ac:dyDescent="0.3">
      <c r="A8" s="48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18" ht="18" customHeight="1" x14ac:dyDescent="0.3">
      <c r="A9" s="29">
        <v>1</v>
      </c>
      <c r="B9" s="124" t="s">
        <v>29</v>
      </c>
      <c r="C9" s="125"/>
      <c r="D9" s="28">
        <v>4</v>
      </c>
      <c r="E9" s="7">
        <v>4</v>
      </c>
      <c r="F9" s="7">
        <v>4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  <c r="R9" s="2" t="s">
        <v>2</v>
      </c>
    </row>
    <row r="10" spans="1:18" ht="18" customHeight="1" x14ac:dyDescent="0.3">
      <c r="A10" s="29">
        <v>2</v>
      </c>
      <c r="B10" s="124" t="s">
        <v>28</v>
      </c>
      <c r="C10" s="125"/>
      <c r="D10" s="7">
        <v>4</v>
      </c>
      <c r="E10" s="7">
        <v>4</v>
      </c>
      <c r="F10" s="7">
        <v>4</v>
      </c>
      <c r="G10" s="22">
        <f t="shared" ref="G10:G29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R10" s="2" t="s">
        <v>48</v>
      </c>
    </row>
    <row r="11" spans="1:18" ht="18" customHeight="1" x14ac:dyDescent="0.3">
      <c r="A11" s="29">
        <v>3</v>
      </c>
      <c r="B11" s="124" t="s">
        <v>31</v>
      </c>
      <c r="C11" s="125"/>
      <c r="D11" s="7">
        <v>4</v>
      </c>
      <c r="E11" s="7">
        <v>4</v>
      </c>
      <c r="F11" s="7">
        <v>4</v>
      </c>
      <c r="G11" s="22">
        <f t="shared" si="0"/>
        <v>1</v>
      </c>
      <c r="H11" s="134"/>
      <c r="I11" s="134"/>
      <c r="J11" s="134"/>
      <c r="K11" s="134"/>
      <c r="R11" s="2" t="s">
        <v>121</v>
      </c>
    </row>
    <row r="12" spans="1:18" ht="18" customHeight="1" x14ac:dyDescent="0.3">
      <c r="A12" s="29">
        <v>4</v>
      </c>
      <c r="B12" s="124" t="s">
        <v>30</v>
      </c>
      <c r="C12" s="125"/>
      <c r="D12" s="28">
        <v>4</v>
      </c>
      <c r="E12" s="7">
        <v>4</v>
      </c>
      <c r="F12" s="7">
        <v>4</v>
      </c>
      <c r="G12" s="22">
        <f t="shared" si="0"/>
        <v>1</v>
      </c>
      <c r="H12" s="134"/>
      <c r="I12" s="134"/>
      <c r="J12" s="134"/>
      <c r="K12" s="134"/>
      <c r="R12" s="2" t="s">
        <v>13</v>
      </c>
    </row>
    <row r="13" spans="1:18" ht="18" customHeight="1" x14ac:dyDescent="0.3">
      <c r="A13" s="29">
        <v>5</v>
      </c>
      <c r="B13" s="124" t="s">
        <v>22</v>
      </c>
      <c r="C13" s="125"/>
      <c r="D13" s="28">
        <v>4</v>
      </c>
      <c r="E13" s="7">
        <v>4</v>
      </c>
      <c r="F13" s="7">
        <v>4</v>
      </c>
      <c r="G13" s="22">
        <f t="shared" si="0"/>
        <v>1</v>
      </c>
      <c r="H13" s="134"/>
      <c r="I13" s="134"/>
      <c r="J13" s="134"/>
      <c r="K13" s="134"/>
      <c r="R13" s="2" t="s">
        <v>47</v>
      </c>
    </row>
    <row r="14" spans="1:18" ht="18" customHeight="1" x14ac:dyDescent="0.3">
      <c r="A14" s="29">
        <v>6</v>
      </c>
      <c r="B14" s="126" t="s">
        <v>55</v>
      </c>
      <c r="C14" s="127"/>
      <c r="D14" s="28">
        <v>1</v>
      </c>
      <c r="E14" s="7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R14" s="2" t="s">
        <v>12</v>
      </c>
    </row>
    <row r="15" spans="1:18" ht="18" customHeight="1" x14ac:dyDescent="0.3">
      <c r="A15" s="117">
        <v>7</v>
      </c>
      <c r="B15" s="135" t="s">
        <v>24</v>
      </c>
      <c r="C15" s="136"/>
      <c r="D15" s="141">
        <v>3</v>
      </c>
      <c r="E15" s="144">
        <v>3</v>
      </c>
      <c r="F15" s="144">
        <v>2</v>
      </c>
      <c r="G15" s="128">
        <f>IF(D15="","",IF(D15=0,"-",IF(F15&gt;D15,"ERROR",IF(E15&gt;D15,"ERROR",IF(E15&lt;D15,0,IF(E15&gt;F15,0,IF(F15=D15,1,0)))))))</f>
        <v>0</v>
      </c>
      <c r="H15" s="51" t="s">
        <v>63</v>
      </c>
      <c r="I15" s="46"/>
      <c r="J15" s="51" t="s">
        <v>62</v>
      </c>
      <c r="K15" s="46"/>
      <c r="R15" s="2" t="s">
        <v>122</v>
      </c>
    </row>
    <row r="16" spans="1:18" ht="18" customHeight="1" x14ac:dyDescent="0.3">
      <c r="A16" s="118"/>
      <c r="B16" s="137"/>
      <c r="C16" s="138"/>
      <c r="D16" s="142"/>
      <c r="E16" s="145"/>
      <c r="F16" s="145"/>
      <c r="G16" s="129"/>
      <c r="H16" s="51" t="s">
        <v>64</v>
      </c>
      <c r="I16" s="62"/>
      <c r="J16" s="51" t="s">
        <v>62</v>
      </c>
      <c r="K16" s="46"/>
      <c r="M16" s="2"/>
      <c r="N16" s="2"/>
      <c r="R16" s="2" t="s">
        <v>123</v>
      </c>
    </row>
    <row r="17" spans="1:18" ht="18" customHeight="1" x14ac:dyDescent="0.3">
      <c r="A17" s="118"/>
      <c r="B17" s="137"/>
      <c r="C17" s="138"/>
      <c r="D17" s="142"/>
      <c r="E17" s="145"/>
      <c r="F17" s="145"/>
      <c r="G17" s="129"/>
      <c r="H17" s="51" t="s">
        <v>65</v>
      </c>
      <c r="I17" s="62"/>
      <c r="J17" s="51" t="s">
        <v>62</v>
      </c>
      <c r="K17" s="46"/>
      <c r="M17" s="2"/>
      <c r="N17" s="2"/>
      <c r="R17" s="2" t="s">
        <v>14</v>
      </c>
    </row>
    <row r="18" spans="1:18" ht="18" customHeight="1" x14ac:dyDescent="0.3">
      <c r="A18" s="118"/>
      <c r="B18" s="137"/>
      <c r="C18" s="138"/>
      <c r="D18" s="142"/>
      <c r="E18" s="145"/>
      <c r="F18" s="145"/>
      <c r="G18" s="129"/>
      <c r="H18" s="51" t="s">
        <v>66</v>
      </c>
      <c r="I18" s="62"/>
      <c r="J18" s="51" t="s">
        <v>62</v>
      </c>
      <c r="K18" s="46"/>
      <c r="M18" s="2"/>
      <c r="N18" s="2"/>
      <c r="R18" s="2" t="s">
        <v>6</v>
      </c>
    </row>
    <row r="19" spans="1:18" ht="18" customHeight="1" x14ac:dyDescent="0.3">
      <c r="A19" s="118"/>
      <c r="B19" s="137"/>
      <c r="C19" s="138"/>
      <c r="D19" s="142"/>
      <c r="E19" s="145"/>
      <c r="F19" s="145"/>
      <c r="G19" s="129"/>
      <c r="H19" s="51" t="s">
        <v>67</v>
      </c>
      <c r="I19" s="46"/>
      <c r="J19" s="51" t="s">
        <v>62</v>
      </c>
      <c r="K19" s="46"/>
      <c r="M19" s="2"/>
      <c r="N19" s="2"/>
      <c r="R19" s="2" t="s">
        <v>78</v>
      </c>
    </row>
    <row r="20" spans="1:18" ht="18" customHeight="1" x14ac:dyDescent="0.3">
      <c r="A20" s="118"/>
      <c r="B20" s="137"/>
      <c r="C20" s="138"/>
      <c r="D20" s="142"/>
      <c r="E20" s="145"/>
      <c r="F20" s="145"/>
      <c r="G20" s="129"/>
      <c r="H20" s="51" t="s">
        <v>68</v>
      </c>
      <c r="I20" s="45"/>
      <c r="J20" s="51" t="s">
        <v>62</v>
      </c>
      <c r="K20" s="46"/>
      <c r="M20" s="2"/>
      <c r="N20" s="2"/>
      <c r="R20" s="2" t="s">
        <v>7</v>
      </c>
    </row>
    <row r="21" spans="1:18" ht="18.75" customHeight="1" x14ac:dyDescent="0.3">
      <c r="A21" s="118"/>
      <c r="B21" s="137"/>
      <c r="C21" s="138"/>
      <c r="D21" s="142"/>
      <c r="E21" s="145"/>
      <c r="F21" s="145"/>
      <c r="G21" s="129"/>
      <c r="H21" s="51" t="s">
        <v>69</v>
      </c>
      <c r="I21" s="45"/>
      <c r="J21" s="51" t="s">
        <v>62</v>
      </c>
      <c r="K21" s="46"/>
      <c r="L21" s="4"/>
      <c r="M21" s="2"/>
      <c r="N21" s="2"/>
      <c r="R21" s="2" t="s">
        <v>124</v>
      </c>
    </row>
    <row r="22" spans="1:18" ht="18.75" customHeight="1" x14ac:dyDescent="0.3">
      <c r="A22" s="119"/>
      <c r="B22" s="139"/>
      <c r="C22" s="140"/>
      <c r="D22" s="143"/>
      <c r="E22" s="146"/>
      <c r="F22" s="146"/>
      <c r="G22" s="130"/>
      <c r="H22" s="131"/>
      <c r="I22" s="132"/>
      <c r="J22" s="132"/>
      <c r="K22" s="133"/>
      <c r="L22" s="4"/>
      <c r="M22" s="2"/>
      <c r="N22" s="2"/>
      <c r="R22" s="2" t="s">
        <v>125</v>
      </c>
    </row>
    <row r="23" spans="1:18" ht="18" customHeight="1" x14ac:dyDescent="0.3">
      <c r="A23" s="29">
        <v>8</v>
      </c>
      <c r="B23" s="126" t="s">
        <v>21</v>
      </c>
      <c r="C23" s="127"/>
      <c r="D23" s="28">
        <v>1</v>
      </c>
      <c r="E23" s="7">
        <v>1</v>
      </c>
      <c r="F23" s="7">
        <v>1</v>
      </c>
      <c r="G23" s="22">
        <f t="shared" si="0"/>
        <v>1</v>
      </c>
      <c r="H23" s="175"/>
      <c r="I23" s="176"/>
      <c r="J23" s="176"/>
      <c r="K23" s="177"/>
      <c r="M23" s="2"/>
      <c r="N23" s="2"/>
      <c r="R23" s="2" t="s">
        <v>126</v>
      </c>
    </row>
    <row r="24" spans="1:18" ht="18" customHeight="1" x14ac:dyDescent="0.3">
      <c r="A24" s="29">
        <v>9</v>
      </c>
      <c r="B24" s="126" t="s">
        <v>20</v>
      </c>
      <c r="C24" s="127"/>
      <c r="D24" s="28">
        <v>1</v>
      </c>
      <c r="E24" s="7">
        <v>1</v>
      </c>
      <c r="F24" s="7">
        <v>1</v>
      </c>
      <c r="G24" s="22">
        <f t="shared" si="0"/>
        <v>1</v>
      </c>
      <c r="H24" s="134"/>
      <c r="I24" s="134"/>
      <c r="J24" s="134"/>
      <c r="K24" s="134"/>
      <c r="M24" s="2"/>
      <c r="N24" s="2"/>
      <c r="R24" s="2" t="s">
        <v>127</v>
      </c>
    </row>
    <row r="25" spans="1:18" ht="18" customHeight="1" x14ac:dyDescent="0.3">
      <c r="A25" s="29">
        <v>10</v>
      </c>
      <c r="B25" s="124" t="s">
        <v>8</v>
      </c>
      <c r="C25" s="125"/>
      <c r="D25" s="28">
        <v>4</v>
      </c>
      <c r="E25" s="7">
        <v>4</v>
      </c>
      <c r="F25" s="7">
        <v>4</v>
      </c>
      <c r="G25" s="22">
        <f t="shared" si="0"/>
        <v>1</v>
      </c>
      <c r="H25" s="134"/>
      <c r="I25" s="134"/>
      <c r="J25" s="134"/>
      <c r="K25" s="134"/>
      <c r="M25" s="2"/>
      <c r="N25" s="2"/>
      <c r="R25" s="2" t="s">
        <v>128</v>
      </c>
    </row>
    <row r="26" spans="1:18" ht="18" customHeight="1" x14ac:dyDescent="0.3">
      <c r="A26" s="29">
        <v>11</v>
      </c>
      <c r="B26" s="122" t="s">
        <v>132</v>
      </c>
      <c r="C26" s="123"/>
      <c r="D26" s="28">
        <v>2</v>
      </c>
      <c r="E26" s="28">
        <v>2</v>
      </c>
      <c r="F26" s="28">
        <v>2</v>
      </c>
      <c r="G26" s="22">
        <f t="shared" si="0"/>
        <v>1</v>
      </c>
      <c r="H26" s="175"/>
      <c r="I26" s="176"/>
      <c r="J26" s="176"/>
      <c r="K26" s="177"/>
      <c r="M26" s="2"/>
      <c r="N26" s="2"/>
      <c r="R26" s="2" t="s">
        <v>129</v>
      </c>
    </row>
    <row r="27" spans="1:18" ht="18" customHeight="1" x14ac:dyDescent="0.3">
      <c r="A27" s="29">
        <v>12</v>
      </c>
      <c r="B27" s="120" t="s">
        <v>60</v>
      </c>
      <c r="C27" s="121"/>
      <c r="D27" s="28">
        <v>1</v>
      </c>
      <c r="E27" s="7">
        <v>1</v>
      </c>
      <c r="F27" s="7">
        <v>1</v>
      </c>
      <c r="G27" s="22">
        <f t="shared" si="0"/>
        <v>1</v>
      </c>
      <c r="H27" s="175"/>
      <c r="I27" s="176"/>
      <c r="J27" s="176"/>
      <c r="K27" s="177"/>
      <c r="R27" s="2" t="s">
        <v>130</v>
      </c>
    </row>
    <row r="28" spans="1:18" ht="18" customHeight="1" x14ac:dyDescent="0.3">
      <c r="A28" s="29">
        <v>13</v>
      </c>
      <c r="B28" s="195" t="s">
        <v>56</v>
      </c>
      <c r="C28" s="196"/>
      <c r="D28" s="47">
        <v>1</v>
      </c>
      <c r="E28" s="7">
        <v>1</v>
      </c>
      <c r="F28" s="7">
        <v>1</v>
      </c>
      <c r="G28" s="49">
        <f t="shared" si="0"/>
        <v>1</v>
      </c>
      <c r="H28" s="197"/>
      <c r="I28" s="197"/>
      <c r="J28" s="197"/>
      <c r="K28" s="197"/>
    </row>
    <row r="29" spans="1:18" ht="18" customHeight="1" thickBot="1" x14ac:dyDescent="0.35">
      <c r="A29" s="29">
        <v>14</v>
      </c>
      <c r="B29" s="203" t="s">
        <v>70</v>
      </c>
      <c r="C29" s="204"/>
      <c r="D29" s="28">
        <v>3</v>
      </c>
      <c r="E29" s="7">
        <v>3</v>
      </c>
      <c r="F29" s="7">
        <v>3</v>
      </c>
      <c r="G29" s="22">
        <f t="shared" si="0"/>
        <v>1</v>
      </c>
      <c r="H29" s="134"/>
      <c r="I29" s="134"/>
      <c r="J29" s="134"/>
      <c r="K29" s="134"/>
    </row>
    <row r="30" spans="1:18" ht="19.5" customHeight="1" thickBot="1" x14ac:dyDescent="0.35">
      <c r="A30" s="198" t="s">
        <v>57</v>
      </c>
      <c r="B30" s="199"/>
      <c r="C30" s="199"/>
      <c r="D30" s="199"/>
      <c r="E30" s="199"/>
      <c r="F30" s="199"/>
      <c r="G30" s="200">
        <f>IFERROR(AVERAGE(G9:G28),"-")</f>
        <v>0.92307692307692313</v>
      </c>
      <c r="H30" s="201"/>
      <c r="I30" s="201"/>
      <c r="J30" s="201"/>
      <c r="K30" s="202"/>
    </row>
    <row r="31" spans="1:18" ht="17.25" customHeight="1" x14ac:dyDescent="0.3">
      <c r="A31" s="34"/>
      <c r="E31" s="17"/>
      <c r="F31" s="35"/>
      <c r="G31" s="36"/>
      <c r="H31" s="25"/>
      <c r="I31" s="37"/>
      <c r="J31" s="23"/>
    </row>
    <row r="32" spans="1:18" ht="28.5" customHeight="1" x14ac:dyDescent="0.3">
      <c r="A32" s="193" t="s">
        <v>59</v>
      </c>
      <c r="B32" s="193"/>
      <c r="C32" s="184" t="s">
        <v>138</v>
      </c>
      <c r="D32" s="185"/>
      <c r="E32" s="38"/>
      <c r="F32" s="38"/>
      <c r="G32" s="24"/>
      <c r="H32" s="25"/>
      <c r="I32" s="26"/>
      <c r="J32" s="25"/>
    </row>
    <row r="33" spans="1:16" x14ac:dyDescent="0.3">
      <c r="A33" s="193" t="s">
        <v>61</v>
      </c>
      <c r="B33" s="193"/>
      <c r="C33" s="184" t="s">
        <v>85</v>
      </c>
      <c r="D33" s="185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92" t="s">
        <v>58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</row>
    <row r="36" spans="1:16" x14ac:dyDescent="0.3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17</v>
      </c>
      <c r="M39" s="21" t="s">
        <v>54</v>
      </c>
      <c r="N39" s="21" t="s">
        <v>53</v>
      </c>
      <c r="O39" s="42" t="s">
        <v>34</v>
      </c>
    </row>
    <row r="40" spans="1:16" ht="15.6" hidden="1" x14ac:dyDescent="0.3">
      <c r="K40" s="5" t="s">
        <v>10</v>
      </c>
      <c r="L40" s="8" t="s">
        <v>18</v>
      </c>
      <c r="M40" s="6">
        <v>0</v>
      </c>
      <c r="N40" s="44" t="s">
        <v>18</v>
      </c>
      <c r="O40" s="6" t="s">
        <v>35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19</v>
      </c>
      <c r="M41" s="15">
        <v>1</v>
      </c>
      <c r="N41" s="43" t="s">
        <v>19</v>
      </c>
      <c r="O41" s="6" t="s">
        <v>36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37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38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39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40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41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42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43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44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45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46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hidden="1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</sheetData>
  <sheetProtection selectLockedCells="1"/>
  <dataConsolidate/>
  <mergeCells count="49">
    <mergeCell ref="H10:K10"/>
    <mergeCell ref="B15:C22"/>
    <mergeCell ref="D15:D22"/>
    <mergeCell ref="E15:E22"/>
    <mergeCell ref="F15:F22"/>
    <mergeCell ref="B10:C10"/>
    <mergeCell ref="G15:G22"/>
    <mergeCell ref="J1:K1"/>
    <mergeCell ref="J3:K3"/>
    <mergeCell ref="C1:H3"/>
    <mergeCell ref="B26:C26"/>
    <mergeCell ref="H26:K26"/>
    <mergeCell ref="B11:C11"/>
    <mergeCell ref="B12:C12"/>
    <mergeCell ref="B13:C13"/>
    <mergeCell ref="H11:K11"/>
    <mergeCell ref="B14:C14"/>
    <mergeCell ref="H14:K14"/>
    <mergeCell ref="H12:K12"/>
    <mergeCell ref="H13:K13"/>
    <mergeCell ref="H22:K22"/>
    <mergeCell ref="H23:K23"/>
    <mergeCell ref="A1:B3"/>
    <mergeCell ref="C5:G5"/>
    <mergeCell ref="I5:J5"/>
    <mergeCell ref="B8:C8"/>
    <mergeCell ref="B9:C9"/>
    <mergeCell ref="A7:K7"/>
    <mergeCell ref="H8:K8"/>
    <mergeCell ref="H9:K9"/>
    <mergeCell ref="A30:F30"/>
    <mergeCell ref="G30:K30"/>
    <mergeCell ref="B29:C29"/>
    <mergeCell ref="H29:K29"/>
    <mergeCell ref="A35:K36"/>
    <mergeCell ref="A32:B32"/>
    <mergeCell ref="C32:D32"/>
    <mergeCell ref="A33:B33"/>
    <mergeCell ref="C33:D33"/>
    <mergeCell ref="A15:A22"/>
    <mergeCell ref="B27:C27"/>
    <mergeCell ref="H27:K27"/>
    <mergeCell ref="B28:C28"/>
    <mergeCell ref="H28:K28"/>
    <mergeCell ref="H24:K24"/>
    <mergeCell ref="B25:C25"/>
    <mergeCell ref="H25:K25"/>
    <mergeCell ref="B24:C24"/>
    <mergeCell ref="B23:C23"/>
  </mergeCells>
  <dataValidations count="4">
    <dataValidation type="list" allowBlank="1" showInputMessage="1" showErrorMessage="1" sqref="D12:D14 D23:D25 D27:D29 D26:F26" xr:uid="{00000000-0002-0000-0600-000000000000}">
      <formula1>$M$33:$M$49</formula1>
    </dataValidation>
    <dataValidation type="list" allowBlank="1" showInputMessage="1" showErrorMessage="1" sqref="D9" xr:uid="{00000000-0002-0000-0600-000001000000}">
      <formula1>$M$33:$M$48</formula1>
    </dataValidation>
    <dataValidation type="list" allowBlank="1" showInputMessage="1" showErrorMessage="1" sqref="D15 E9:F15 D10:D11 E23:F25 E27:F29" xr:uid="{00000000-0002-0000-0600-000002000000}">
      <formula1>$M$41:$M$55</formula1>
    </dataValidation>
    <dataValidation type="list" allowBlank="1" showInputMessage="1" showErrorMessage="1" sqref="C5:G5" xr:uid="{00000000-0002-0000-0600-000003000000}">
      <formula1>$R$9:$R$27</formula1>
    </dataValidation>
  </dataValidations>
  <pageMargins left="0.39370078740157483" right="0.39370078740157483" top="0.59055118110236227" bottom="0.59055118110236227" header="0.31496062992125984" footer="0.31496062992125984"/>
  <pageSetup scale="67" orientation="portrait" r:id="rId1"/>
  <headerFooter>
    <oddFooter>&amp;RPág. &amp;P -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Q61"/>
  <sheetViews>
    <sheetView view="pageBreakPreview" topLeftCell="A10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30.4414062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4.88671875" style="2" customWidth="1" collapsed="1"/>
    <col min="12" max="12" width="14.44140625" style="2" customWidth="1" collapsed="1"/>
    <col min="13" max="14" width="11.44140625" style="6" customWidth="1" collapsed="1"/>
    <col min="15" max="16" width="11.44140625" style="2" customWidth="1" collapsed="1"/>
    <col min="17" max="17" width="0" style="2" hidden="1" customWidth="1" collapsed="1"/>
    <col min="18" max="16384" width="11.44140625" style="2" collapsed="1"/>
  </cols>
  <sheetData>
    <row r="1" spans="1:17" ht="15" customHeight="1" x14ac:dyDescent="0.3">
      <c r="A1" s="149"/>
      <c r="B1" s="149"/>
      <c r="C1" s="159" t="s">
        <v>16</v>
      </c>
      <c r="D1" s="160"/>
      <c r="E1" s="160"/>
      <c r="F1" s="160"/>
      <c r="G1" s="160"/>
      <c r="H1" s="161"/>
      <c r="I1" s="30" t="s">
        <v>25</v>
      </c>
      <c r="J1" s="210" t="s">
        <v>49</v>
      </c>
      <c r="K1" s="211"/>
    </row>
    <row r="2" spans="1:17" ht="20.2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17" x14ac:dyDescent="0.3">
      <c r="A3" s="149"/>
      <c r="B3" s="149"/>
      <c r="C3" s="159"/>
      <c r="D3" s="160"/>
      <c r="E3" s="160"/>
      <c r="F3" s="160"/>
      <c r="G3" s="160"/>
      <c r="H3" s="161"/>
      <c r="I3" s="30" t="s">
        <v>27</v>
      </c>
      <c r="J3" s="154">
        <v>42286</v>
      </c>
      <c r="K3" s="155"/>
    </row>
    <row r="4" spans="1:17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7" ht="15.75" customHeight="1" x14ac:dyDescent="0.3">
      <c r="A5" s="3"/>
      <c r="B5" s="13" t="s">
        <v>32</v>
      </c>
      <c r="C5" s="150" t="s">
        <v>14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17" ht="15.75" customHeight="1" x14ac:dyDescent="0.3">
      <c r="A6" s="18"/>
      <c r="E6" s="19"/>
      <c r="F6" s="19"/>
      <c r="G6" s="11"/>
    </row>
    <row r="7" spans="1:17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7" ht="28.8" x14ac:dyDescent="0.3">
      <c r="A8" s="48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17" ht="18" customHeight="1" x14ac:dyDescent="0.3">
      <c r="A9" s="29">
        <v>1</v>
      </c>
      <c r="B9" s="124" t="s">
        <v>29</v>
      </c>
      <c r="C9" s="125"/>
      <c r="D9" s="28">
        <v>5</v>
      </c>
      <c r="E9" s="7">
        <v>5</v>
      </c>
      <c r="F9" s="7">
        <v>5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</row>
    <row r="10" spans="1:17" ht="18" customHeight="1" x14ac:dyDescent="0.3">
      <c r="A10" s="29">
        <v>2</v>
      </c>
      <c r="B10" s="124" t="s">
        <v>28</v>
      </c>
      <c r="C10" s="125"/>
      <c r="D10" s="28">
        <v>5</v>
      </c>
      <c r="E10" s="7">
        <v>5</v>
      </c>
      <c r="F10" s="7">
        <v>5</v>
      </c>
      <c r="G10" s="22">
        <f t="shared" ref="G10:G29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Q10" s="2" t="s">
        <v>2</v>
      </c>
    </row>
    <row r="11" spans="1:17" ht="18" customHeight="1" x14ac:dyDescent="0.3">
      <c r="A11" s="29">
        <v>3</v>
      </c>
      <c r="B11" s="124" t="s">
        <v>31</v>
      </c>
      <c r="C11" s="125"/>
      <c r="D11" s="28">
        <v>5</v>
      </c>
      <c r="E11" s="7">
        <v>5</v>
      </c>
      <c r="F11" s="7">
        <v>5</v>
      </c>
      <c r="G11" s="22">
        <f t="shared" si="0"/>
        <v>1</v>
      </c>
      <c r="H11" s="134"/>
      <c r="I11" s="134"/>
      <c r="J11" s="134"/>
      <c r="K11" s="134"/>
      <c r="Q11" s="2" t="s">
        <v>48</v>
      </c>
    </row>
    <row r="12" spans="1:17" ht="18" customHeight="1" x14ac:dyDescent="0.3">
      <c r="A12" s="29">
        <v>4</v>
      </c>
      <c r="B12" s="124" t="s">
        <v>30</v>
      </c>
      <c r="C12" s="125"/>
      <c r="D12" s="28">
        <v>5</v>
      </c>
      <c r="E12" s="7">
        <v>5</v>
      </c>
      <c r="F12" s="7">
        <v>5</v>
      </c>
      <c r="G12" s="22">
        <f t="shared" si="0"/>
        <v>1</v>
      </c>
      <c r="H12" s="134"/>
      <c r="I12" s="134"/>
      <c r="J12" s="134"/>
      <c r="K12" s="134"/>
      <c r="Q12" s="2" t="s">
        <v>121</v>
      </c>
    </row>
    <row r="13" spans="1:17" ht="18" customHeight="1" x14ac:dyDescent="0.3">
      <c r="A13" s="29">
        <v>5</v>
      </c>
      <c r="B13" s="124" t="s">
        <v>22</v>
      </c>
      <c r="C13" s="125"/>
      <c r="D13" s="28">
        <v>5</v>
      </c>
      <c r="E13" s="7">
        <v>5</v>
      </c>
      <c r="F13" s="7">
        <v>5</v>
      </c>
      <c r="G13" s="22">
        <f t="shared" si="0"/>
        <v>1</v>
      </c>
      <c r="H13" s="134"/>
      <c r="I13" s="134"/>
      <c r="J13" s="134"/>
      <c r="K13" s="134"/>
      <c r="Q13" s="2" t="s">
        <v>13</v>
      </c>
    </row>
    <row r="14" spans="1:17" ht="18" customHeight="1" x14ac:dyDescent="0.3">
      <c r="A14" s="29">
        <v>6</v>
      </c>
      <c r="B14" s="126" t="s">
        <v>55</v>
      </c>
      <c r="C14" s="127"/>
      <c r="D14" s="28">
        <v>1</v>
      </c>
      <c r="E14" s="7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Q14" s="2" t="s">
        <v>47</v>
      </c>
    </row>
    <row r="15" spans="1:17" ht="18" customHeight="1" x14ac:dyDescent="0.3">
      <c r="A15" s="117">
        <v>7</v>
      </c>
      <c r="B15" s="135" t="s">
        <v>24</v>
      </c>
      <c r="C15" s="136"/>
      <c r="D15" s="141">
        <v>4</v>
      </c>
      <c r="E15" s="144">
        <v>4</v>
      </c>
      <c r="F15" s="144">
        <v>4</v>
      </c>
      <c r="G15" s="128">
        <f>IF(D15="","",IF(D15=0,"-",IF(F15&gt;D15,"ERROR",IF(E15&gt;D15,"ERROR",IF(E15&lt;D15,0,IF(E15&gt;F15,0,IF(F15=D15,1,0)))))))</f>
        <v>1</v>
      </c>
      <c r="H15" s="51" t="s">
        <v>63</v>
      </c>
      <c r="I15" s="65"/>
      <c r="J15" s="51" t="s">
        <v>62</v>
      </c>
      <c r="K15" s="46"/>
      <c r="Q15" s="2" t="s">
        <v>12</v>
      </c>
    </row>
    <row r="16" spans="1:17" ht="18" customHeight="1" x14ac:dyDescent="0.3">
      <c r="A16" s="118"/>
      <c r="B16" s="137"/>
      <c r="C16" s="138"/>
      <c r="D16" s="142"/>
      <c r="E16" s="145"/>
      <c r="F16" s="145"/>
      <c r="G16" s="129"/>
      <c r="H16" s="51" t="s">
        <v>64</v>
      </c>
      <c r="I16" s="67"/>
      <c r="J16" s="51" t="s">
        <v>62</v>
      </c>
      <c r="K16" s="46"/>
      <c r="M16" s="2"/>
      <c r="N16" s="2"/>
      <c r="Q16" s="2" t="s">
        <v>122</v>
      </c>
    </row>
    <row r="17" spans="1:17" ht="18" customHeight="1" x14ac:dyDescent="0.3">
      <c r="A17" s="118"/>
      <c r="B17" s="137"/>
      <c r="C17" s="138"/>
      <c r="D17" s="142"/>
      <c r="E17" s="145"/>
      <c r="F17" s="145"/>
      <c r="G17" s="129"/>
      <c r="H17" s="51" t="s">
        <v>65</v>
      </c>
      <c r="I17" s="68"/>
      <c r="J17" s="51" t="s">
        <v>62</v>
      </c>
      <c r="K17" s="46"/>
      <c r="M17" s="2"/>
      <c r="N17" s="2"/>
      <c r="Q17" s="2" t="s">
        <v>123</v>
      </c>
    </row>
    <row r="18" spans="1:17" ht="18" customHeight="1" x14ac:dyDescent="0.3">
      <c r="A18" s="118"/>
      <c r="B18" s="137"/>
      <c r="C18" s="138"/>
      <c r="D18" s="142"/>
      <c r="E18" s="145"/>
      <c r="F18" s="145"/>
      <c r="G18" s="129"/>
      <c r="H18" s="51" t="s">
        <v>66</v>
      </c>
      <c r="I18" s="68"/>
      <c r="J18" s="51" t="s">
        <v>62</v>
      </c>
      <c r="K18" s="46"/>
      <c r="M18" s="2"/>
      <c r="N18" s="2"/>
      <c r="Q18" s="2" t="s">
        <v>14</v>
      </c>
    </row>
    <row r="19" spans="1:17" ht="18" customHeight="1" x14ac:dyDescent="0.3">
      <c r="A19" s="118"/>
      <c r="B19" s="137"/>
      <c r="C19" s="138"/>
      <c r="D19" s="142"/>
      <c r="E19" s="145"/>
      <c r="F19" s="145"/>
      <c r="G19" s="129"/>
      <c r="H19" s="51" t="s">
        <v>67</v>
      </c>
      <c r="I19" s="68"/>
      <c r="J19" s="51" t="s">
        <v>62</v>
      </c>
      <c r="K19" s="46"/>
      <c r="M19" s="2"/>
      <c r="N19" s="2"/>
      <c r="Q19" s="2" t="s">
        <v>6</v>
      </c>
    </row>
    <row r="20" spans="1:17" ht="18" customHeight="1" x14ac:dyDescent="0.3">
      <c r="A20" s="118"/>
      <c r="B20" s="137"/>
      <c r="C20" s="138"/>
      <c r="D20" s="142"/>
      <c r="E20" s="145"/>
      <c r="F20" s="145"/>
      <c r="G20" s="129"/>
      <c r="H20" s="51" t="s">
        <v>68</v>
      </c>
      <c r="I20" s="68"/>
      <c r="J20" s="51" t="s">
        <v>62</v>
      </c>
      <c r="K20" s="46"/>
      <c r="M20" s="2"/>
      <c r="N20" s="2"/>
      <c r="Q20" s="2" t="s">
        <v>78</v>
      </c>
    </row>
    <row r="21" spans="1:17" ht="18.75" customHeight="1" x14ac:dyDescent="0.3">
      <c r="A21" s="118"/>
      <c r="B21" s="137"/>
      <c r="C21" s="138"/>
      <c r="D21" s="142"/>
      <c r="E21" s="145"/>
      <c r="F21" s="145"/>
      <c r="G21" s="129"/>
      <c r="H21" s="51" t="s">
        <v>69</v>
      </c>
      <c r="I21" s="45"/>
      <c r="J21" s="51" t="s">
        <v>62</v>
      </c>
      <c r="K21" s="46"/>
      <c r="L21" s="4"/>
      <c r="M21" s="2"/>
      <c r="N21" s="2"/>
      <c r="Q21" s="2" t="s">
        <v>7</v>
      </c>
    </row>
    <row r="22" spans="1:17" ht="18.75" customHeight="1" x14ac:dyDescent="0.3">
      <c r="A22" s="119"/>
      <c r="B22" s="139"/>
      <c r="C22" s="140"/>
      <c r="D22" s="143"/>
      <c r="E22" s="146"/>
      <c r="F22" s="146"/>
      <c r="G22" s="130"/>
      <c r="H22" s="131"/>
      <c r="I22" s="132"/>
      <c r="J22" s="132"/>
      <c r="K22" s="133"/>
      <c r="L22" s="4"/>
      <c r="M22" s="2"/>
      <c r="N22" s="2"/>
      <c r="Q22" s="2" t="s">
        <v>124</v>
      </c>
    </row>
    <row r="23" spans="1:17" ht="18" customHeight="1" x14ac:dyDescent="0.3">
      <c r="A23" s="29">
        <v>8</v>
      </c>
      <c r="B23" s="126" t="s">
        <v>21</v>
      </c>
      <c r="C23" s="127"/>
      <c r="D23" s="28">
        <v>1</v>
      </c>
      <c r="E23" s="7">
        <v>1</v>
      </c>
      <c r="F23" s="7">
        <v>1</v>
      </c>
      <c r="G23" s="22">
        <f t="shared" si="0"/>
        <v>1</v>
      </c>
      <c r="H23" s="134"/>
      <c r="I23" s="134"/>
      <c r="J23" s="134"/>
      <c r="K23" s="134"/>
      <c r="M23" s="2"/>
      <c r="N23" s="2"/>
      <c r="Q23" s="2" t="s">
        <v>125</v>
      </c>
    </row>
    <row r="24" spans="1:17" ht="18" customHeight="1" x14ac:dyDescent="0.3">
      <c r="A24" s="29">
        <v>9</v>
      </c>
      <c r="B24" s="126" t="s">
        <v>20</v>
      </c>
      <c r="C24" s="127"/>
      <c r="D24" s="28">
        <v>2</v>
      </c>
      <c r="E24" s="7">
        <v>2</v>
      </c>
      <c r="F24" s="7">
        <v>2</v>
      </c>
      <c r="G24" s="22">
        <f t="shared" si="0"/>
        <v>1</v>
      </c>
      <c r="H24" s="134"/>
      <c r="I24" s="134"/>
      <c r="J24" s="134"/>
      <c r="K24" s="134"/>
      <c r="M24" s="2"/>
      <c r="N24" s="2"/>
      <c r="Q24" s="2" t="s">
        <v>126</v>
      </c>
    </row>
    <row r="25" spans="1:17" ht="18" customHeight="1" x14ac:dyDescent="0.3">
      <c r="A25" s="29">
        <v>10</v>
      </c>
      <c r="B25" s="124" t="s">
        <v>8</v>
      </c>
      <c r="C25" s="125"/>
      <c r="D25" s="28">
        <v>5</v>
      </c>
      <c r="E25" s="7">
        <v>5</v>
      </c>
      <c r="F25" s="7">
        <v>5</v>
      </c>
      <c r="G25" s="22">
        <f t="shared" si="0"/>
        <v>1</v>
      </c>
      <c r="H25" s="134"/>
      <c r="I25" s="134"/>
      <c r="J25" s="134"/>
      <c r="K25" s="134"/>
      <c r="M25" s="2"/>
      <c r="N25" s="2"/>
      <c r="Q25" s="2" t="s">
        <v>127</v>
      </c>
    </row>
    <row r="26" spans="1:17" ht="18" customHeight="1" x14ac:dyDescent="0.3">
      <c r="A26" s="29">
        <v>11</v>
      </c>
      <c r="B26" s="122" t="s">
        <v>132</v>
      </c>
      <c r="C26" s="123"/>
      <c r="D26" s="28">
        <v>2</v>
      </c>
      <c r="E26" s="28">
        <v>2</v>
      </c>
      <c r="F26" s="28">
        <v>2</v>
      </c>
      <c r="G26" s="22">
        <f t="shared" si="0"/>
        <v>1</v>
      </c>
      <c r="H26" s="175"/>
      <c r="I26" s="176"/>
      <c r="J26" s="176"/>
      <c r="K26" s="177"/>
      <c r="M26" s="2"/>
      <c r="N26" s="2"/>
      <c r="Q26" s="2" t="s">
        <v>128</v>
      </c>
    </row>
    <row r="27" spans="1:17" ht="18" customHeight="1" x14ac:dyDescent="0.3">
      <c r="A27" s="29">
        <v>12</v>
      </c>
      <c r="B27" s="122" t="s">
        <v>60</v>
      </c>
      <c r="C27" s="123"/>
      <c r="D27" s="80">
        <v>1</v>
      </c>
      <c r="E27" s="7">
        <v>1</v>
      </c>
      <c r="F27" s="7">
        <v>1</v>
      </c>
      <c r="G27" s="22">
        <f t="shared" si="0"/>
        <v>1</v>
      </c>
      <c r="H27" s="175"/>
      <c r="I27" s="176"/>
      <c r="J27" s="176"/>
      <c r="K27" s="177"/>
      <c r="Q27" s="2" t="s">
        <v>129</v>
      </c>
    </row>
    <row r="28" spans="1:17" ht="18" customHeight="1" x14ac:dyDescent="0.3">
      <c r="A28" s="29">
        <v>13</v>
      </c>
      <c r="B28" s="195" t="s">
        <v>56</v>
      </c>
      <c r="C28" s="196"/>
      <c r="D28" s="47">
        <v>1</v>
      </c>
      <c r="E28" s="7">
        <v>1</v>
      </c>
      <c r="F28" s="7">
        <v>1</v>
      </c>
      <c r="G28" s="49">
        <f t="shared" si="0"/>
        <v>1</v>
      </c>
      <c r="H28" s="197"/>
      <c r="I28" s="197"/>
      <c r="J28" s="197"/>
      <c r="K28" s="197"/>
      <c r="Q28" s="2" t="s">
        <v>130</v>
      </c>
    </row>
    <row r="29" spans="1:17" ht="18" customHeight="1" thickBot="1" x14ac:dyDescent="0.35">
      <c r="A29" s="29">
        <v>14</v>
      </c>
      <c r="B29" s="203" t="s">
        <v>70</v>
      </c>
      <c r="C29" s="204"/>
      <c r="D29" s="28">
        <v>4</v>
      </c>
      <c r="E29" s="7">
        <v>4</v>
      </c>
      <c r="F29" s="7">
        <v>4</v>
      </c>
      <c r="G29" s="22">
        <f t="shared" si="0"/>
        <v>1</v>
      </c>
      <c r="H29" s="134"/>
      <c r="I29" s="134"/>
      <c r="J29" s="134"/>
      <c r="K29" s="134"/>
    </row>
    <row r="30" spans="1:17" ht="19.5" customHeight="1" thickBot="1" x14ac:dyDescent="0.35">
      <c r="A30" s="198" t="s">
        <v>57</v>
      </c>
      <c r="B30" s="199"/>
      <c r="C30" s="199"/>
      <c r="D30" s="199"/>
      <c r="E30" s="199"/>
      <c r="F30" s="199"/>
      <c r="G30" s="200">
        <f>IFERROR(AVERAGE(G9:G28),"-")</f>
        <v>1</v>
      </c>
      <c r="H30" s="201"/>
      <c r="I30" s="201"/>
      <c r="J30" s="201"/>
      <c r="K30" s="202"/>
    </row>
    <row r="31" spans="1:17" ht="17.25" customHeight="1" x14ac:dyDescent="0.3">
      <c r="A31" s="34"/>
      <c r="E31" s="17"/>
      <c r="F31" s="35"/>
      <c r="G31" s="36"/>
      <c r="H31" s="25"/>
      <c r="I31" s="37"/>
      <c r="J31" s="23"/>
    </row>
    <row r="32" spans="1:17" ht="28.5" customHeight="1" x14ac:dyDescent="0.3">
      <c r="A32" s="193" t="s">
        <v>59</v>
      </c>
      <c r="B32" s="193"/>
      <c r="C32" s="194" t="s">
        <v>159</v>
      </c>
      <c r="D32" s="194"/>
      <c r="E32" s="38"/>
      <c r="F32" s="38"/>
      <c r="G32" s="24"/>
      <c r="H32" s="25"/>
      <c r="I32" s="26"/>
      <c r="J32" s="25"/>
    </row>
    <row r="33" spans="1:16" x14ac:dyDescent="0.3">
      <c r="A33" s="193" t="s">
        <v>61</v>
      </c>
      <c r="B33" s="193"/>
      <c r="C33" s="184" t="s">
        <v>85</v>
      </c>
      <c r="D33" s="185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92" t="s">
        <v>58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</row>
    <row r="36" spans="1:16" x14ac:dyDescent="0.3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17</v>
      </c>
      <c r="M39" s="21" t="s">
        <v>54</v>
      </c>
      <c r="N39" s="21" t="s">
        <v>53</v>
      </c>
      <c r="O39" s="42" t="s">
        <v>34</v>
      </c>
    </row>
    <row r="40" spans="1:16" ht="15.6" hidden="1" x14ac:dyDescent="0.3">
      <c r="K40" s="5" t="s">
        <v>10</v>
      </c>
      <c r="L40" s="8" t="s">
        <v>18</v>
      </c>
      <c r="M40" s="6">
        <v>0</v>
      </c>
      <c r="N40" s="44" t="s">
        <v>18</v>
      </c>
      <c r="O40" s="6" t="s">
        <v>35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19</v>
      </c>
      <c r="M41" s="15">
        <v>1</v>
      </c>
      <c r="N41" s="43" t="s">
        <v>19</v>
      </c>
      <c r="O41" s="6" t="s">
        <v>36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37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38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39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40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41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42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43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44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45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46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</sheetData>
  <sheetProtection selectLockedCells="1"/>
  <dataConsolidate/>
  <mergeCells count="49">
    <mergeCell ref="B11:C11"/>
    <mergeCell ref="B12:C12"/>
    <mergeCell ref="B13:C13"/>
    <mergeCell ref="H11:K11"/>
    <mergeCell ref="B14:C14"/>
    <mergeCell ref="H14:K14"/>
    <mergeCell ref="H12:K12"/>
    <mergeCell ref="H13:K13"/>
    <mergeCell ref="B10:C10"/>
    <mergeCell ref="A1:B3"/>
    <mergeCell ref="C5:G5"/>
    <mergeCell ref="I5:J5"/>
    <mergeCell ref="B8:C8"/>
    <mergeCell ref="B9:C9"/>
    <mergeCell ref="A7:K7"/>
    <mergeCell ref="H8:K8"/>
    <mergeCell ref="H9:K9"/>
    <mergeCell ref="H10:K10"/>
    <mergeCell ref="J1:K1"/>
    <mergeCell ref="J3:K3"/>
    <mergeCell ref="C1:H3"/>
    <mergeCell ref="G15:G22"/>
    <mergeCell ref="B29:C29"/>
    <mergeCell ref="H29:K29"/>
    <mergeCell ref="B28:C28"/>
    <mergeCell ref="H28:K28"/>
    <mergeCell ref="B26:C26"/>
    <mergeCell ref="H26:K26"/>
    <mergeCell ref="A35:K36"/>
    <mergeCell ref="A32:B32"/>
    <mergeCell ref="C32:D32"/>
    <mergeCell ref="A33:B33"/>
    <mergeCell ref="C33:D33"/>
    <mergeCell ref="A30:F30"/>
    <mergeCell ref="G30:K30"/>
    <mergeCell ref="A15:A22"/>
    <mergeCell ref="B15:C22"/>
    <mergeCell ref="D15:D22"/>
    <mergeCell ref="E15:E22"/>
    <mergeCell ref="F15:F22"/>
    <mergeCell ref="B27:C27"/>
    <mergeCell ref="H27:K27"/>
    <mergeCell ref="H22:K22"/>
    <mergeCell ref="H23:K23"/>
    <mergeCell ref="H24:K24"/>
    <mergeCell ref="B25:C25"/>
    <mergeCell ref="H25:K25"/>
    <mergeCell ref="B24:C24"/>
    <mergeCell ref="B23:C23"/>
  </mergeCells>
  <dataValidations count="4">
    <dataValidation type="list" allowBlank="1" showInputMessage="1" showErrorMessage="1" sqref="D9" xr:uid="{00000000-0002-0000-0700-000000000000}">
      <formula1>$M$33:$M$48</formula1>
    </dataValidation>
    <dataValidation type="list" allowBlank="1" showInputMessage="1" showErrorMessage="1" sqref="D10:D14 D23:D25 D27:D29 D26:F26" xr:uid="{00000000-0002-0000-0700-000001000000}">
      <formula1>$M$33:$M$49</formula1>
    </dataValidation>
    <dataValidation type="list" allowBlank="1" showInputMessage="1" showErrorMessage="1" sqref="D15 E9:F15 E23:F25 E27:F29" xr:uid="{00000000-0002-0000-0700-000002000000}">
      <formula1>$M$41:$M$55</formula1>
    </dataValidation>
    <dataValidation type="list" allowBlank="1" showInputMessage="1" showErrorMessage="1" sqref="C5:G5" xr:uid="{00000000-0002-0000-0700-000003000000}">
      <formula1>$Q$10:$Q$28</formula1>
    </dataValidation>
  </dataValidations>
  <pageMargins left="0.39370078740157483" right="0.39370078740157483" top="0.59055118110236227" bottom="0.59055118110236227" header="0.31496062992125984" footer="0.31496062992125984"/>
  <pageSetup scale="66" orientation="portrait" r:id="rId1"/>
  <headerFooter>
    <oddFooter>&amp;RPág. &amp;P -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0"/>
  <dimension ref="A1:P61"/>
  <sheetViews>
    <sheetView view="pageBreakPreview" topLeftCell="A10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32.886718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.33203125" style="2" customWidth="1" collapsed="1"/>
    <col min="12" max="12" width="14.44140625" style="2" customWidth="1" collapsed="1"/>
    <col min="13" max="14" width="11.44140625" style="6" customWidth="1" collapsed="1"/>
    <col min="15" max="15" width="11.44140625" style="2" customWidth="1" collapsed="1"/>
    <col min="16" max="16" width="11.44140625" style="2" hidden="1" customWidth="1" collapsed="1"/>
    <col min="17" max="19" width="11.44140625" style="2" customWidth="1" collapsed="1"/>
    <col min="20" max="16384" width="11.44140625" style="2" collapsed="1"/>
  </cols>
  <sheetData>
    <row r="1" spans="1:16" ht="15" customHeight="1" x14ac:dyDescent="0.3">
      <c r="A1" s="149"/>
      <c r="B1" s="149"/>
      <c r="C1" s="156" t="s">
        <v>16</v>
      </c>
      <c r="D1" s="157"/>
      <c r="E1" s="157"/>
      <c r="F1" s="157"/>
      <c r="G1" s="157"/>
      <c r="H1" s="158"/>
      <c r="I1" s="30" t="s">
        <v>25</v>
      </c>
      <c r="J1" s="210" t="s">
        <v>49</v>
      </c>
      <c r="K1" s="211"/>
    </row>
    <row r="2" spans="1:16" ht="20.2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16" x14ac:dyDescent="0.3">
      <c r="A3" s="149"/>
      <c r="B3" s="149"/>
      <c r="C3" s="162"/>
      <c r="D3" s="163"/>
      <c r="E3" s="163"/>
      <c r="F3" s="163"/>
      <c r="G3" s="163"/>
      <c r="H3" s="164"/>
      <c r="I3" s="30" t="s">
        <v>27</v>
      </c>
      <c r="J3" s="154">
        <v>42286</v>
      </c>
      <c r="K3" s="155"/>
    </row>
    <row r="4" spans="1:16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6" ht="15.75" customHeight="1" x14ac:dyDescent="0.3">
      <c r="A5" s="3"/>
      <c r="B5" s="13" t="s">
        <v>32</v>
      </c>
      <c r="C5" s="150" t="s">
        <v>11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16" ht="15.75" customHeight="1" x14ac:dyDescent="0.3">
      <c r="A6" s="18"/>
      <c r="E6" s="19"/>
      <c r="F6" s="19"/>
      <c r="G6" s="11"/>
    </row>
    <row r="7" spans="1:16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6" ht="28.8" x14ac:dyDescent="0.3">
      <c r="A8" s="48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16" ht="18" customHeight="1" x14ac:dyDescent="0.3">
      <c r="A9" s="29">
        <v>1</v>
      </c>
      <c r="B9" s="124" t="s">
        <v>29</v>
      </c>
      <c r="C9" s="125"/>
      <c r="D9" s="28">
        <v>4</v>
      </c>
      <c r="E9" s="7">
        <v>4</v>
      </c>
      <c r="F9" s="7">
        <v>4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  <c r="P9" s="2" t="s">
        <v>2</v>
      </c>
    </row>
    <row r="10" spans="1:16" ht="18" customHeight="1" x14ac:dyDescent="0.3">
      <c r="A10" s="29">
        <v>2</v>
      </c>
      <c r="B10" s="124" t="s">
        <v>28</v>
      </c>
      <c r="C10" s="125"/>
      <c r="D10" s="28">
        <v>4</v>
      </c>
      <c r="E10" s="7">
        <v>4</v>
      </c>
      <c r="F10" s="7">
        <v>4</v>
      </c>
      <c r="G10" s="22">
        <f t="shared" ref="G10:G29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P10" s="2" t="s">
        <v>48</v>
      </c>
    </row>
    <row r="11" spans="1:16" ht="18" customHeight="1" x14ac:dyDescent="0.3">
      <c r="A11" s="29">
        <v>3</v>
      </c>
      <c r="B11" s="124" t="s">
        <v>31</v>
      </c>
      <c r="C11" s="125"/>
      <c r="D11" s="28">
        <v>4</v>
      </c>
      <c r="E11" s="7">
        <v>4</v>
      </c>
      <c r="F11" s="7">
        <v>4</v>
      </c>
      <c r="G11" s="22">
        <f t="shared" si="0"/>
        <v>1</v>
      </c>
      <c r="H11" s="134"/>
      <c r="I11" s="134"/>
      <c r="J11" s="134"/>
      <c r="K11" s="134"/>
      <c r="P11" s="2" t="s">
        <v>121</v>
      </c>
    </row>
    <row r="12" spans="1:16" ht="18" customHeight="1" x14ac:dyDescent="0.3">
      <c r="A12" s="29">
        <v>4</v>
      </c>
      <c r="B12" s="124" t="s">
        <v>30</v>
      </c>
      <c r="C12" s="125"/>
      <c r="D12" s="28">
        <v>4</v>
      </c>
      <c r="E12" s="7">
        <v>4</v>
      </c>
      <c r="F12" s="7">
        <v>4</v>
      </c>
      <c r="G12" s="22">
        <f t="shared" si="0"/>
        <v>1</v>
      </c>
      <c r="H12" s="134"/>
      <c r="I12" s="134"/>
      <c r="J12" s="134"/>
      <c r="K12" s="134"/>
      <c r="P12" s="2" t="s">
        <v>13</v>
      </c>
    </row>
    <row r="13" spans="1:16" ht="18" customHeight="1" x14ac:dyDescent="0.3">
      <c r="A13" s="29">
        <v>5</v>
      </c>
      <c r="B13" s="124" t="s">
        <v>22</v>
      </c>
      <c r="C13" s="125"/>
      <c r="D13" s="28">
        <v>4</v>
      </c>
      <c r="E13" s="7">
        <v>4</v>
      </c>
      <c r="F13" s="7">
        <v>4</v>
      </c>
      <c r="G13" s="22">
        <f t="shared" si="0"/>
        <v>1</v>
      </c>
      <c r="H13" s="134"/>
      <c r="I13" s="134"/>
      <c r="J13" s="134"/>
      <c r="K13" s="134"/>
      <c r="P13" s="2" t="s">
        <v>47</v>
      </c>
    </row>
    <row r="14" spans="1:16" ht="18" customHeight="1" x14ac:dyDescent="0.3">
      <c r="A14" s="29">
        <v>6</v>
      </c>
      <c r="B14" s="126" t="s">
        <v>55</v>
      </c>
      <c r="C14" s="127"/>
      <c r="D14" s="28">
        <v>1</v>
      </c>
      <c r="E14" s="7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P14" s="2" t="s">
        <v>12</v>
      </c>
    </row>
    <row r="15" spans="1:16" ht="18" customHeight="1" x14ac:dyDescent="0.3">
      <c r="A15" s="117">
        <v>7</v>
      </c>
      <c r="B15" s="135" t="s">
        <v>24</v>
      </c>
      <c r="C15" s="136"/>
      <c r="D15" s="141">
        <v>3</v>
      </c>
      <c r="E15" s="144">
        <v>3</v>
      </c>
      <c r="F15" s="144">
        <v>3</v>
      </c>
      <c r="G15" s="128">
        <f>IF(D15="","",IF(D15=0,"-",IF(F15&gt;D15,"ERROR",IF(E15&gt;D15,"ERROR",IF(E15&lt;D15,0,IF(E15&gt;F15,0,IF(F15=D15,1,0)))))))</f>
        <v>1</v>
      </c>
      <c r="H15" s="51" t="s">
        <v>63</v>
      </c>
      <c r="I15" s="70"/>
      <c r="J15" s="51" t="s">
        <v>62</v>
      </c>
      <c r="K15" s="46"/>
      <c r="P15" s="2" t="s">
        <v>122</v>
      </c>
    </row>
    <row r="16" spans="1:16" ht="18" customHeight="1" x14ac:dyDescent="0.3">
      <c r="A16" s="118"/>
      <c r="B16" s="137"/>
      <c r="C16" s="138"/>
      <c r="D16" s="142"/>
      <c r="E16" s="145"/>
      <c r="F16" s="145"/>
      <c r="G16" s="129"/>
      <c r="H16" s="51" t="s">
        <v>64</v>
      </c>
      <c r="I16" s="71"/>
      <c r="J16" s="51" t="s">
        <v>62</v>
      </c>
      <c r="K16" s="46"/>
      <c r="M16" s="2"/>
      <c r="N16" s="2"/>
      <c r="P16" s="2" t="s">
        <v>123</v>
      </c>
    </row>
    <row r="17" spans="1:16" ht="18" customHeight="1" x14ac:dyDescent="0.3">
      <c r="A17" s="118"/>
      <c r="B17" s="137"/>
      <c r="C17" s="138"/>
      <c r="D17" s="142"/>
      <c r="E17" s="145"/>
      <c r="F17" s="145"/>
      <c r="G17" s="129"/>
      <c r="H17" s="51" t="s">
        <v>65</v>
      </c>
      <c r="I17" s="70"/>
      <c r="J17" s="51" t="s">
        <v>62</v>
      </c>
      <c r="K17" s="46"/>
      <c r="M17" s="2"/>
      <c r="N17" s="2"/>
      <c r="P17" s="2" t="s">
        <v>14</v>
      </c>
    </row>
    <row r="18" spans="1:16" ht="18" customHeight="1" x14ac:dyDescent="0.3">
      <c r="A18" s="118"/>
      <c r="B18" s="137"/>
      <c r="C18" s="138"/>
      <c r="D18" s="142"/>
      <c r="E18" s="145"/>
      <c r="F18" s="145"/>
      <c r="G18" s="129"/>
      <c r="H18" s="51" t="s">
        <v>66</v>
      </c>
      <c r="I18" s="62"/>
      <c r="J18" s="51" t="s">
        <v>62</v>
      </c>
      <c r="K18" s="46"/>
      <c r="M18" s="2"/>
      <c r="N18" s="2"/>
      <c r="P18" s="2" t="s">
        <v>6</v>
      </c>
    </row>
    <row r="19" spans="1:16" ht="18" customHeight="1" x14ac:dyDescent="0.3">
      <c r="A19" s="118"/>
      <c r="B19" s="137"/>
      <c r="C19" s="138"/>
      <c r="D19" s="142"/>
      <c r="E19" s="145"/>
      <c r="F19" s="145"/>
      <c r="G19" s="129"/>
      <c r="H19" s="51" t="s">
        <v>67</v>
      </c>
      <c r="I19" s="46"/>
      <c r="J19" s="51" t="s">
        <v>62</v>
      </c>
      <c r="K19" s="46"/>
      <c r="M19" s="2"/>
      <c r="N19" s="2"/>
      <c r="P19" s="2" t="s">
        <v>78</v>
      </c>
    </row>
    <row r="20" spans="1:16" ht="18" customHeight="1" x14ac:dyDescent="0.3">
      <c r="A20" s="118"/>
      <c r="B20" s="137"/>
      <c r="C20" s="138"/>
      <c r="D20" s="142"/>
      <c r="E20" s="145"/>
      <c r="F20" s="145"/>
      <c r="G20" s="129"/>
      <c r="H20" s="51" t="s">
        <v>68</v>
      </c>
      <c r="I20" s="45"/>
      <c r="J20" s="51" t="s">
        <v>62</v>
      </c>
      <c r="K20" s="46"/>
      <c r="M20" s="2"/>
      <c r="N20" s="2"/>
      <c r="P20" s="2" t="s">
        <v>7</v>
      </c>
    </row>
    <row r="21" spans="1:16" ht="18.75" customHeight="1" x14ac:dyDescent="0.3">
      <c r="A21" s="118"/>
      <c r="B21" s="137"/>
      <c r="C21" s="138"/>
      <c r="D21" s="142"/>
      <c r="E21" s="145"/>
      <c r="F21" s="145"/>
      <c r="G21" s="129"/>
      <c r="H21" s="51" t="s">
        <v>69</v>
      </c>
      <c r="I21" s="45"/>
      <c r="J21" s="51" t="s">
        <v>62</v>
      </c>
      <c r="K21" s="46"/>
      <c r="L21" s="4"/>
      <c r="M21" s="2"/>
      <c r="N21" s="2"/>
      <c r="P21" s="2" t="s">
        <v>124</v>
      </c>
    </row>
    <row r="22" spans="1:16" ht="18.75" customHeight="1" x14ac:dyDescent="0.3">
      <c r="A22" s="119"/>
      <c r="B22" s="139"/>
      <c r="C22" s="140"/>
      <c r="D22" s="143"/>
      <c r="E22" s="146"/>
      <c r="F22" s="146"/>
      <c r="G22" s="130"/>
      <c r="H22" s="131"/>
      <c r="I22" s="132"/>
      <c r="J22" s="132"/>
      <c r="K22" s="133"/>
      <c r="L22" s="4"/>
      <c r="M22" s="2"/>
      <c r="N22" s="2"/>
      <c r="P22" s="2" t="s">
        <v>125</v>
      </c>
    </row>
    <row r="23" spans="1:16" ht="18" customHeight="1" x14ac:dyDescent="0.3">
      <c r="A23" s="29">
        <v>8</v>
      </c>
      <c r="B23" s="126" t="s">
        <v>21</v>
      </c>
      <c r="C23" s="127"/>
      <c r="D23" s="28">
        <v>1</v>
      </c>
      <c r="E23" s="7">
        <v>1</v>
      </c>
      <c r="F23" s="7">
        <v>1</v>
      </c>
      <c r="G23" s="22">
        <f t="shared" si="0"/>
        <v>1</v>
      </c>
      <c r="H23" s="134"/>
      <c r="I23" s="134"/>
      <c r="J23" s="134"/>
      <c r="K23" s="134"/>
      <c r="M23" s="2"/>
      <c r="N23" s="2"/>
      <c r="P23" s="2" t="s">
        <v>126</v>
      </c>
    </row>
    <row r="24" spans="1:16" ht="18" customHeight="1" x14ac:dyDescent="0.3">
      <c r="A24" s="29">
        <v>9</v>
      </c>
      <c r="B24" s="126" t="s">
        <v>20</v>
      </c>
      <c r="C24" s="127"/>
      <c r="D24" s="28">
        <v>1</v>
      </c>
      <c r="E24" s="7">
        <v>1</v>
      </c>
      <c r="F24" s="7">
        <v>1</v>
      </c>
      <c r="G24" s="22">
        <f t="shared" si="0"/>
        <v>1</v>
      </c>
      <c r="H24" s="134"/>
      <c r="I24" s="134"/>
      <c r="J24" s="134"/>
      <c r="K24" s="134"/>
      <c r="M24" s="2"/>
      <c r="N24" s="2"/>
      <c r="P24" s="2" t="s">
        <v>127</v>
      </c>
    </row>
    <row r="25" spans="1:16" ht="18" customHeight="1" x14ac:dyDescent="0.3">
      <c r="A25" s="29">
        <v>10</v>
      </c>
      <c r="B25" s="124" t="s">
        <v>8</v>
      </c>
      <c r="C25" s="125"/>
      <c r="D25" s="28">
        <v>4</v>
      </c>
      <c r="E25" s="7">
        <v>4</v>
      </c>
      <c r="F25" s="7">
        <v>4</v>
      </c>
      <c r="G25" s="22">
        <f t="shared" si="0"/>
        <v>1</v>
      </c>
      <c r="H25" s="134"/>
      <c r="I25" s="134"/>
      <c r="J25" s="134"/>
      <c r="K25" s="134"/>
      <c r="M25" s="2"/>
      <c r="N25" s="2"/>
      <c r="P25" s="2" t="s">
        <v>128</v>
      </c>
    </row>
    <row r="26" spans="1:16" ht="18" customHeight="1" x14ac:dyDescent="0.3">
      <c r="A26" s="29">
        <v>11</v>
      </c>
      <c r="B26" s="214" t="s">
        <v>132</v>
      </c>
      <c r="C26" s="214"/>
      <c r="D26" s="28">
        <v>2</v>
      </c>
      <c r="E26" s="28">
        <v>2</v>
      </c>
      <c r="F26" s="28">
        <v>2</v>
      </c>
      <c r="G26" s="22">
        <f t="shared" si="0"/>
        <v>1</v>
      </c>
      <c r="H26" s="134"/>
      <c r="I26" s="134"/>
      <c r="J26" s="134"/>
      <c r="K26" s="134"/>
      <c r="M26" s="2"/>
      <c r="N26" s="2"/>
      <c r="P26" s="2" t="s">
        <v>129</v>
      </c>
    </row>
    <row r="27" spans="1:16" ht="18" customHeight="1" x14ac:dyDescent="0.3">
      <c r="A27" s="29">
        <v>12</v>
      </c>
      <c r="B27" s="120" t="s">
        <v>60</v>
      </c>
      <c r="C27" s="121"/>
      <c r="D27" s="28">
        <v>1</v>
      </c>
      <c r="E27" s="7">
        <v>1</v>
      </c>
      <c r="F27" s="7">
        <v>1</v>
      </c>
      <c r="G27" s="22">
        <f t="shared" si="0"/>
        <v>1</v>
      </c>
      <c r="H27" s="134"/>
      <c r="I27" s="134"/>
      <c r="J27" s="134"/>
      <c r="K27" s="134"/>
      <c r="P27" s="2" t="s">
        <v>130</v>
      </c>
    </row>
    <row r="28" spans="1:16" ht="18" customHeight="1" x14ac:dyDescent="0.3">
      <c r="A28" s="29">
        <v>13</v>
      </c>
      <c r="B28" s="195" t="s">
        <v>56</v>
      </c>
      <c r="C28" s="196"/>
      <c r="D28" s="47">
        <v>1</v>
      </c>
      <c r="E28" s="7">
        <v>1</v>
      </c>
      <c r="F28" s="7">
        <v>1</v>
      </c>
      <c r="G28" s="49">
        <f t="shared" si="0"/>
        <v>1</v>
      </c>
      <c r="H28" s="197"/>
      <c r="I28" s="197"/>
      <c r="J28" s="197"/>
      <c r="K28" s="197"/>
    </row>
    <row r="29" spans="1:16" ht="18" customHeight="1" thickBot="1" x14ac:dyDescent="0.35">
      <c r="A29" s="29">
        <v>14</v>
      </c>
      <c r="B29" s="203" t="s">
        <v>70</v>
      </c>
      <c r="C29" s="204"/>
      <c r="D29" s="28">
        <v>3</v>
      </c>
      <c r="E29" s="7">
        <v>3</v>
      </c>
      <c r="F29" s="7">
        <v>3</v>
      </c>
      <c r="G29" s="22">
        <f t="shared" si="0"/>
        <v>1</v>
      </c>
      <c r="H29" s="134"/>
      <c r="I29" s="134"/>
      <c r="J29" s="134"/>
      <c r="K29" s="134"/>
    </row>
    <row r="30" spans="1:16" ht="19.5" customHeight="1" thickBot="1" x14ac:dyDescent="0.35">
      <c r="A30" s="198" t="s">
        <v>57</v>
      </c>
      <c r="B30" s="199"/>
      <c r="C30" s="199"/>
      <c r="D30" s="199"/>
      <c r="E30" s="199"/>
      <c r="F30" s="199"/>
      <c r="G30" s="200">
        <f>IFERROR(AVERAGE(G9:G28),"-")</f>
        <v>1</v>
      </c>
      <c r="H30" s="201"/>
      <c r="I30" s="201"/>
      <c r="J30" s="201"/>
      <c r="K30" s="202"/>
    </row>
    <row r="31" spans="1:16" ht="17.25" customHeight="1" x14ac:dyDescent="0.3">
      <c r="A31" s="34"/>
      <c r="E31" s="17"/>
      <c r="F31" s="35"/>
      <c r="G31" s="36"/>
      <c r="H31" s="25"/>
      <c r="I31" s="37"/>
      <c r="J31" s="23"/>
    </row>
    <row r="32" spans="1:16" x14ac:dyDescent="0.3">
      <c r="A32" s="193" t="s">
        <v>59</v>
      </c>
      <c r="B32" s="193"/>
      <c r="C32" s="194" t="s">
        <v>143</v>
      </c>
      <c r="D32" s="194"/>
      <c r="E32" s="38"/>
      <c r="F32" s="38"/>
      <c r="G32" s="24"/>
      <c r="H32" s="25"/>
      <c r="I32" s="26"/>
      <c r="J32" s="25"/>
    </row>
    <row r="33" spans="1:16" ht="28.5" customHeight="1" x14ac:dyDescent="0.3">
      <c r="A33" s="193" t="s">
        <v>61</v>
      </c>
      <c r="B33" s="193"/>
      <c r="C33" s="184" t="s">
        <v>89</v>
      </c>
      <c r="D33" s="185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92" t="s">
        <v>58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</row>
    <row r="36" spans="1:16" x14ac:dyDescent="0.3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17</v>
      </c>
      <c r="M39" s="21" t="s">
        <v>54</v>
      </c>
      <c r="N39" s="21" t="s">
        <v>53</v>
      </c>
      <c r="O39" s="42" t="s">
        <v>34</v>
      </c>
    </row>
    <row r="40" spans="1:16" ht="15.6" hidden="1" x14ac:dyDescent="0.3">
      <c r="K40" s="5" t="s">
        <v>10</v>
      </c>
      <c r="L40" s="8" t="s">
        <v>18</v>
      </c>
      <c r="M40" s="6">
        <v>0</v>
      </c>
      <c r="N40" s="44" t="s">
        <v>18</v>
      </c>
      <c r="O40" s="6" t="s">
        <v>35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19</v>
      </c>
      <c r="M41" s="15">
        <v>1</v>
      </c>
      <c r="N41" s="43" t="s">
        <v>19</v>
      </c>
      <c r="O41" s="6" t="s">
        <v>36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37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38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39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40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41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42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43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44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45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46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</sheetData>
  <sheetProtection selectLockedCells="1"/>
  <dataConsolidate/>
  <mergeCells count="49">
    <mergeCell ref="H22:K22"/>
    <mergeCell ref="B14:C14"/>
    <mergeCell ref="A15:A22"/>
    <mergeCell ref="B15:C22"/>
    <mergeCell ref="D15:D22"/>
    <mergeCell ref="E15:E22"/>
    <mergeCell ref="F15:F22"/>
    <mergeCell ref="J3:K3"/>
    <mergeCell ref="J1:K1"/>
    <mergeCell ref="C1:H3"/>
    <mergeCell ref="A1:B3"/>
    <mergeCell ref="H10:K10"/>
    <mergeCell ref="B10:C10"/>
    <mergeCell ref="B9:C9"/>
    <mergeCell ref="H9:K9"/>
    <mergeCell ref="C5:G5"/>
    <mergeCell ref="I5:J5"/>
    <mergeCell ref="B8:C8"/>
    <mergeCell ref="A7:K7"/>
    <mergeCell ref="H8:K8"/>
    <mergeCell ref="B26:C26"/>
    <mergeCell ref="H26:K26"/>
    <mergeCell ref="B11:C11"/>
    <mergeCell ref="B12:C12"/>
    <mergeCell ref="B13:C13"/>
    <mergeCell ref="H23:K23"/>
    <mergeCell ref="H24:K24"/>
    <mergeCell ref="B25:C25"/>
    <mergeCell ref="H25:K25"/>
    <mergeCell ref="B24:C24"/>
    <mergeCell ref="B23:C23"/>
    <mergeCell ref="H11:K11"/>
    <mergeCell ref="H12:K12"/>
    <mergeCell ref="H13:K13"/>
    <mergeCell ref="H14:K14"/>
    <mergeCell ref="G15:G22"/>
    <mergeCell ref="B27:C27"/>
    <mergeCell ref="H27:K27"/>
    <mergeCell ref="B28:C28"/>
    <mergeCell ref="H28:K28"/>
    <mergeCell ref="A30:F30"/>
    <mergeCell ref="G30:K30"/>
    <mergeCell ref="B29:C29"/>
    <mergeCell ref="H29:K29"/>
    <mergeCell ref="A35:K36"/>
    <mergeCell ref="A32:B32"/>
    <mergeCell ref="C32:D32"/>
    <mergeCell ref="A33:B33"/>
    <mergeCell ref="C33:D33"/>
  </mergeCells>
  <dataValidations count="5">
    <dataValidation type="list" allowBlank="1" showInputMessage="1" showErrorMessage="1" sqref="D10:D14 D23:D25 D27:D28" xr:uid="{00000000-0002-0000-0800-000000000000}">
      <formula1>$M$34:$M$50</formula1>
    </dataValidation>
    <dataValidation type="list" allowBlank="1" showInputMessage="1" showErrorMessage="1" sqref="D9" xr:uid="{00000000-0002-0000-0800-000001000000}">
      <formula1>$M$34:$M$49</formula1>
    </dataValidation>
    <dataValidation type="list" allowBlank="1" showInputMessage="1" showErrorMessage="1" sqref="D15 E9:F15 E23:F25 E27:F29" xr:uid="{00000000-0002-0000-0800-000002000000}">
      <formula1>$M$41:$M$55</formula1>
    </dataValidation>
    <dataValidation type="list" allowBlank="1" showInputMessage="1" showErrorMessage="1" sqref="D29 D26:F26" xr:uid="{00000000-0002-0000-0800-000003000000}">
      <formula1>$M$33:$M$49</formula1>
    </dataValidation>
    <dataValidation type="list" allowBlank="1" showInputMessage="1" showErrorMessage="1" sqref="C5:G5" xr:uid="{00000000-0002-0000-0800-000004000000}">
      <formula1>$P$9:$P$27</formula1>
    </dataValidation>
  </dataValidations>
  <pageMargins left="0.39370078740157483" right="0.39370078740157483" top="0.59055118110236227" bottom="0.59055118110236227" header="0.31496062992125984" footer="0.31496062992125984"/>
  <pageSetup scale="66" orientation="portrait" r:id="rId1"/>
  <headerFooter>
    <oddFooter>&amp;RPág. &amp;P -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1:P63"/>
  <sheetViews>
    <sheetView view="pageBreakPreview" topLeftCell="A16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31.664062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3.88671875" style="2" customWidth="1" collapsed="1"/>
    <col min="12" max="12" width="14.44140625" style="2" customWidth="1" collapsed="1"/>
    <col min="13" max="14" width="11.44140625" style="6" customWidth="1" collapsed="1"/>
    <col min="15" max="15" width="11.44140625" style="2" customWidth="1" collapsed="1"/>
    <col min="16" max="16" width="11.44140625" style="2" hidden="1" customWidth="1" collapsed="1"/>
    <col min="17" max="16384" width="11.44140625" style="2" collapsed="1"/>
  </cols>
  <sheetData>
    <row r="1" spans="1:16" ht="15" customHeight="1" x14ac:dyDescent="0.3">
      <c r="A1" s="149"/>
      <c r="B1" s="149"/>
      <c r="C1" s="156" t="s">
        <v>16</v>
      </c>
      <c r="D1" s="157"/>
      <c r="E1" s="157"/>
      <c r="F1" s="157"/>
      <c r="G1" s="157"/>
      <c r="H1" s="158"/>
      <c r="I1" s="30" t="s">
        <v>25</v>
      </c>
      <c r="J1" s="210" t="s">
        <v>49</v>
      </c>
      <c r="K1" s="211"/>
    </row>
    <row r="2" spans="1:16" ht="20.2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16" x14ac:dyDescent="0.3">
      <c r="A3" s="149"/>
      <c r="B3" s="149"/>
      <c r="C3" s="162"/>
      <c r="D3" s="163"/>
      <c r="E3" s="163"/>
      <c r="F3" s="163"/>
      <c r="G3" s="163"/>
      <c r="H3" s="164"/>
      <c r="I3" s="30" t="s">
        <v>27</v>
      </c>
      <c r="J3" s="154">
        <v>42286</v>
      </c>
      <c r="K3" s="155"/>
    </row>
    <row r="4" spans="1:16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6" ht="15.75" customHeight="1" x14ac:dyDescent="0.3">
      <c r="A5" s="3"/>
      <c r="B5" s="13" t="s">
        <v>32</v>
      </c>
      <c r="C5" s="150" t="s">
        <v>125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16" ht="15.75" customHeight="1" x14ac:dyDescent="0.3">
      <c r="A6" s="18"/>
      <c r="E6" s="19"/>
      <c r="F6" s="19"/>
      <c r="G6" s="11"/>
    </row>
    <row r="7" spans="1:16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6" ht="28.8" x14ac:dyDescent="0.3">
      <c r="A8" s="48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16" ht="18" customHeight="1" x14ac:dyDescent="0.3">
      <c r="A9" s="29">
        <v>1</v>
      </c>
      <c r="B9" s="124" t="s">
        <v>29</v>
      </c>
      <c r="C9" s="125"/>
      <c r="D9" s="28">
        <v>4</v>
      </c>
      <c r="E9" s="7">
        <v>4</v>
      </c>
      <c r="F9" s="7">
        <v>4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  <c r="P9" s="2" t="s">
        <v>2</v>
      </c>
    </row>
    <row r="10" spans="1:16" ht="18" customHeight="1" x14ac:dyDescent="0.3">
      <c r="A10" s="29">
        <v>2</v>
      </c>
      <c r="B10" s="124" t="s">
        <v>28</v>
      </c>
      <c r="C10" s="125"/>
      <c r="D10" s="28">
        <v>4</v>
      </c>
      <c r="E10" s="7">
        <v>4</v>
      </c>
      <c r="F10" s="7">
        <v>4</v>
      </c>
      <c r="G10" s="22">
        <f t="shared" ref="G10:G29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P10" s="2" t="s">
        <v>48</v>
      </c>
    </row>
    <row r="11" spans="1:16" ht="18" customHeight="1" x14ac:dyDescent="0.3">
      <c r="A11" s="29">
        <v>3</v>
      </c>
      <c r="B11" s="124" t="s">
        <v>31</v>
      </c>
      <c r="C11" s="125"/>
      <c r="D11" s="28">
        <v>4</v>
      </c>
      <c r="E11" s="7">
        <v>4</v>
      </c>
      <c r="F11" s="7">
        <v>4</v>
      </c>
      <c r="G11" s="22">
        <f t="shared" si="0"/>
        <v>1</v>
      </c>
      <c r="H11" s="134"/>
      <c r="I11" s="134"/>
      <c r="J11" s="134"/>
      <c r="K11" s="134"/>
      <c r="P11" s="2" t="s">
        <v>121</v>
      </c>
    </row>
    <row r="12" spans="1:16" ht="18" customHeight="1" x14ac:dyDescent="0.3">
      <c r="A12" s="29">
        <v>4</v>
      </c>
      <c r="B12" s="124" t="s">
        <v>30</v>
      </c>
      <c r="C12" s="125"/>
      <c r="D12" s="28">
        <v>4</v>
      </c>
      <c r="E12" s="7">
        <v>4</v>
      </c>
      <c r="F12" s="7">
        <v>4</v>
      </c>
      <c r="G12" s="22">
        <f t="shared" si="0"/>
        <v>1</v>
      </c>
      <c r="H12" s="134"/>
      <c r="I12" s="134"/>
      <c r="J12" s="134"/>
      <c r="K12" s="134"/>
      <c r="P12" s="2" t="s">
        <v>13</v>
      </c>
    </row>
    <row r="13" spans="1:16" ht="18" customHeight="1" x14ac:dyDescent="0.3">
      <c r="A13" s="29">
        <v>5</v>
      </c>
      <c r="B13" s="124" t="s">
        <v>22</v>
      </c>
      <c r="C13" s="125"/>
      <c r="D13" s="28">
        <v>4</v>
      </c>
      <c r="E13" s="7">
        <v>4</v>
      </c>
      <c r="F13" s="7">
        <v>4</v>
      </c>
      <c r="G13" s="22">
        <f t="shared" si="0"/>
        <v>1</v>
      </c>
      <c r="H13" s="134"/>
      <c r="I13" s="134"/>
      <c r="J13" s="134"/>
      <c r="K13" s="134"/>
      <c r="P13" s="2" t="s">
        <v>47</v>
      </c>
    </row>
    <row r="14" spans="1:16" ht="18" customHeight="1" x14ac:dyDescent="0.3">
      <c r="A14" s="29">
        <v>6</v>
      </c>
      <c r="B14" s="126" t="s">
        <v>55</v>
      </c>
      <c r="C14" s="127"/>
      <c r="D14" s="28">
        <v>1</v>
      </c>
      <c r="E14" s="7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P14" s="2" t="s">
        <v>12</v>
      </c>
    </row>
    <row r="15" spans="1:16" ht="18" customHeight="1" x14ac:dyDescent="0.3">
      <c r="A15" s="117">
        <v>7</v>
      </c>
      <c r="B15" s="135" t="s">
        <v>24</v>
      </c>
      <c r="C15" s="136"/>
      <c r="D15" s="141">
        <v>2</v>
      </c>
      <c r="E15" s="144">
        <v>2</v>
      </c>
      <c r="F15" s="144">
        <v>2</v>
      </c>
      <c r="G15" s="128">
        <f>IF(D15="","",IF(D15=0,"-",IF(F15&gt;D15,"ERROR",IF(E15&gt;D15,"ERROR",IF(E15&lt;D15,0,IF(E15&gt;F15,0,IF(F15=D15,1,0)))))))</f>
        <v>1</v>
      </c>
      <c r="H15" s="51" t="s">
        <v>63</v>
      </c>
      <c r="I15" s="65"/>
      <c r="J15" s="51" t="s">
        <v>62</v>
      </c>
      <c r="K15" s="46"/>
      <c r="P15" s="2" t="s">
        <v>122</v>
      </c>
    </row>
    <row r="16" spans="1:16" ht="18" customHeight="1" x14ac:dyDescent="0.3">
      <c r="A16" s="118"/>
      <c r="B16" s="137"/>
      <c r="C16" s="138"/>
      <c r="D16" s="142"/>
      <c r="E16" s="145"/>
      <c r="F16" s="145"/>
      <c r="G16" s="129"/>
      <c r="H16" s="51" t="s">
        <v>64</v>
      </c>
      <c r="I16" s="69"/>
      <c r="J16" s="51" t="s">
        <v>62</v>
      </c>
      <c r="K16" s="46"/>
      <c r="M16" s="2"/>
      <c r="N16" s="2"/>
      <c r="P16" s="2" t="s">
        <v>123</v>
      </c>
    </row>
    <row r="17" spans="1:16" ht="18" customHeight="1" x14ac:dyDescent="0.3">
      <c r="A17" s="118"/>
      <c r="B17" s="137"/>
      <c r="C17" s="138"/>
      <c r="D17" s="142"/>
      <c r="E17" s="145"/>
      <c r="F17" s="145"/>
      <c r="G17" s="129"/>
      <c r="H17" s="51" t="s">
        <v>65</v>
      </c>
      <c r="I17" s="69"/>
      <c r="J17" s="51" t="s">
        <v>62</v>
      </c>
      <c r="K17" s="46"/>
      <c r="M17" s="2"/>
      <c r="N17" s="2"/>
      <c r="P17" s="2" t="s">
        <v>14</v>
      </c>
    </row>
    <row r="18" spans="1:16" ht="18" customHeight="1" x14ac:dyDescent="0.3">
      <c r="A18" s="118"/>
      <c r="B18" s="137"/>
      <c r="C18" s="138"/>
      <c r="D18" s="142"/>
      <c r="E18" s="145"/>
      <c r="F18" s="145"/>
      <c r="G18" s="129"/>
      <c r="H18" s="51" t="s">
        <v>66</v>
      </c>
      <c r="I18" s="69"/>
      <c r="J18" s="51" t="s">
        <v>62</v>
      </c>
      <c r="K18" s="46"/>
      <c r="M18" s="2"/>
      <c r="N18" s="2"/>
      <c r="P18" s="2" t="s">
        <v>6</v>
      </c>
    </row>
    <row r="19" spans="1:16" ht="18" customHeight="1" x14ac:dyDescent="0.3">
      <c r="A19" s="118"/>
      <c r="B19" s="137"/>
      <c r="C19" s="138"/>
      <c r="D19" s="142"/>
      <c r="E19" s="145"/>
      <c r="F19" s="145"/>
      <c r="G19" s="129"/>
      <c r="H19" s="51" t="s">
        <v>67</v>
      </c>
      <c r="I19" s="46"/>
      <c r="J19" s="51" t="s">
        <v>62</v>
      </c>
      <c r="K19" s="46"/>
      <c r="M19" s="2"/>
      <c r="N19" s="2"/>
      <c r="P19" s="2" t="s">
        <v>78</v>
      </c>
    </row>
    <row r="20" spans="1:16" ht="18" customHeight="1" x14ac:dyDescent="0.3">
      <c r="A20" s="118"/>
      <c r="B20" s="137"/>
      <c r="C20" s="138"/>
      <c r="D20" s="142"/>
      <c r="E20" s="145"/>
      <c r="F20" s="145"/>
      <c r="G20" s="129"/>
      <c r="H20" s="51" t="s">
        <v>68</v>
      </c>
      <c r="I20" s="45"/>
      <c r="J20" s="51" t="s">
        <v>62</v>
      </c>
      <c r="K20" s="46"/>
      <c r="M20" s="2"/>
      <c r="N20" s="2"/>
      <c r="P20" s="2" t="s">
        <v>7</v>
      </c>
    </row>
    <row r="21" spans="1:16" ht="18.75" customHeight="1" x14ac:dyDescent="0.3">
      <c r="A21" s="118"/>
      <c r="B21" s="137"/>
      <c r="C21" s="138"/>
      <c r="D21" s="142"/>
      <c r="E21" s="145"/>
      <c r="F21" s="145"/>
      <c r="G21" s="129"/>
      <c r="H21" s="51" t="s">
        <v>69</v>
      </c>
      <c r="I21" s="45"/>
      <c r="J21" s="51" t="s">
        <v>62</v>
      </c>
      <c r="K21" s="46"/>
      <c r="L21" s="4"/>
      <c r="M21" s="2"/>
      <c r="N21" s="2"/>
      <c r="P21" s="2" t="s">
        <v>124</v>
      </c>
    </row>
    <row r="22" spans="1:16" ht="18.75" customHeight="1" x14ac:dyDescent="0.3">
      <c r="A22" s="119"/>
      <c r="B22" s="139"/>
      <c r="C22" s="140"/>
      <c r="D22" s="143"/>
      <c r="E22" s="146"/>
      <c r="F22" s="146"/>
      <c r="G22" s="130"/>
      <c r="H22" s="131"/>
      <c r="I22" s="132"/>
      <c r="J22" s="132"/>
      <c r="K22" s="133"/>
      <c r="L22" s="4"/>
      <c r="M22" s="2"/>
      <c r="N22" s="2"/>
      <c r="P22" s="2" t="s">
        <v>125</v>
      </c>
    </row>
    <row r="23" spans="1:16" ht="18" customHeight="1" x14ac:dyDescent="0.3">
      <c r="A23" s="29">
        <v>8</v>
      </c>
      <c r="B23" s="126" t="s">
        <v>21</v>
      </c>
      <c r="C23" s="127"/>
      <c r="D23" s="28">
        <v>1</v>
      </c>
      <c r="E23" s="7">
        <v>1</v>
      </c>
      <c r="F23" s="7">
        <v>1</v>
      </c>
      <c r="G23" s="22">
        <f t="shared" si="0"/>
        <v>1</v>
      </c>
      <c r="H23" s="134"/>
      <c r="I23" s="134"/>
      <c r="J23" s="134"/>
      <c r="K23" s="134"/>
      <c r="M23" s="2"/>
      <c r="N23" s="2"/>
      <c r="P23" s="2" t="s">
        <v>126</v>
      </c>
    </row>
    <row r="24" spans="1:16" ht="18" customHeight="1" x14ac:dyDescent="0.3">
      <c r="A24" s="29">
        <v>9</v>
      </c>
      <c r="B24" s="126" t="s">
        <v>20</v>
      </c>
      <c r="C24" s="127"/>
      <c r="D24" s="28">
        <v>1</v>
      </c>
      <c r="E24" s="7">
        <v>1</v>
      </c>
      <c r="F24" s="7">
        <v>1</v>
      </c>
      <c r="G24" s="22">
        <f t="shared" si="0"/>
        <v>1</v>
      </c>
      <c r="H24" s="134"/>
      <c r="I24" s="134"/>
      <c r="J24" s="134"/>
      <c r="K24" s="134"/>
      <c r="M24" s="2"/>
      <c r="N24" s="2"/>
      <c r="P24" s="2" t="s">
        <v>127</v>
      </c>
    </row>
    <row r="25" spans="1:16" ht="18" customHeight="1" x14ac:dyDescent="0.3">
      <c r="A25" s="29">
        <v>10</v>
      </c>
      <c r="B25" s="124" t="s">
        <v>8</v>
      </c>
      <c r="C25" s="125"/>
      <c r="D25" s="28">
        <v>4</v>
      </c>
      <c r="E25" s="7">
        <v>4</v>
      </c>
      <c r="F25" s="7">
        <v>4</v>
      </c>
      <c r="G25" s="22">
        <f t="shared" si="0"/>
        <v>1</v>
      </c>
      <c r="H25" s="134" t="s">
        <v>158</v>
      </c>
      <c r="I25" s="134"/>
      <c r="J25" s="134"/>
      <c r="K25" s="134"/>
      <c r="M25" s="2"/>
      <c r="N25" s="2"/>
      <c r="P25" s="2" t="s">
        <v>128</v>
      </c>
    </row>
    <row r="26" spans="1:16" ht="18" customHeight="1" x14ac:dyDescent="0.3">
      <c r="A26" s="29">
        <v>11</v>
      </c>
      <c r="B26" s="122" t="s">
        <v>132</v>
      </c>
      <c r="C26" s="123"/>
      <c r="D26" s="28">
        <v>2</v>
      </c>
      <c r="E26" s="28">
        <v>2</v>
      </c>
      <c r="F26" s="28">
        <v>2</v>
      </c>
      <c r="G26" s="22">
        <f t="shared" si="0"/>
        <v>1</v>
      </c>
      <c r="H26" s="175"/>
      <c r="I26" s="176"/>
      <c r="J26" s="176"/>
      <c r="K26" s="177"/>
      <c r="M26" s="2"/>
      <c r="N26" s="2"/>
      <c r="P26" s="2" t="s">
        <v>129</v>
      </c>
    </row>
    <row r="27" spans="1:16" ht="18" customHeight="1" x14ac:dyDescent="0.3">
      <c r="A27" s="29">
        <v>12</v>
      </c>
      <c r="B27" s="120" t="s">
        <v>60</v>
      </c>
      <c r="C27" s="121"/>
      <c r="D27" s="28">
        <v>1</v>
      </c>
      <c r="E27" s="7">
        <v>1</v>
      </c>
      <c r="F27" s="7">
        <v>1</v>
      </c>
      <c r="G27" s="22">
        <f t="shared" si="0"/>
        <v>1</v>
      </c>
      <c r="H27" s="134"/>
      <c r="I27" s="134"/>
      <c r="J27" s="134"/>
      <c r="K27" s="134"/>
      <c r="P27" s="2" t="s">
        <v>130</v>
      </c>
    </row>
    <row r="28" spans="1:16" ht="18" customHeight="1" x14ac:dyDescent="0.3">
      <c r="A28" s="29">
        <v>13</v>
      </c>
      <c r="B28" s="195" t="s">
        <v>56</v>
      </c>
      <c r="C28" s="196"/>
      <c r="D28" s="47">
        <v>1</v>
      </c>
      <c r="E28" s="7">
        <v>1</v>
      </c>
      <c r="F28" s="7">
        <v>1</v>
      </c>
      <c r="G28" s="49">
        <f t="shared" si="0"/>
        <v>1</v>
      </c>
      <c r="H28" s="197"/>
      <c r="I28" s="197"/>
      <c r="J28" s="197"/>
      <c r="K28" s="197"/>
    </row>
    <row r="29" spans="1:16" ht="18" customHeight="1" thickBot="1" x14ac:dyDescent="0.35">
      <c r="A29" s="29">
        <v>14</v>
      </c>
      <c r="B29" s="203" t="s">
        <v>70</v>
      </c>
      <c r="C29" s="204"/>
      <c r="D29" s="28">
        <v>2</v>
      </c>
      <c r="E29" s="7">
        <v>2</v>
      </c>
      <c r="F29" s="7">
        <v>2</v>
      </c>
      <c r="G29" s="22">
        <f t="shared" si="0"/>
        <v>1</v>
      </c>
      <c r="H29" s="134"/>
      <c r="I29" s="134"/>
      <c r="J29" s="134"/>
      <c r="K29" s="134"/>
    </row>
    <row r="30" spans="1:16" ht="19.5" customHeight="1" thickBot="1" x14ac:dyDescent="0.35">
      <c r="A30" s="198" t="s">
        <v>57</v>
      </c>
      <c r="B30" s="199"/>
      <c r="C30" s="199"/>
      <c r="D30" s="199"/>
      <c r="E30" s="199"/>
      <c r="F30" s="199"/>
      <c r="G30" s="200">
        <f>IFERROR(AVERAGE(G9:G28),"-")</f>
        <v>1</v>
      </c>
      <c r="H30" s="201"/>
      <c r="I30" s="201"/>
      <c r="J30" s="201"/>
      <c r="K30" s="202"/>
    </row>
    <row r="31" spans="1:16" ht="17.25" customHeight="1" x14ac:dyDescent="0.3">
      <c r="A31" s="34"/>
      <c r="E31" s="17"/>
      <c r="F31" s="35"/>
      <c r="G31" s="36"/>
      <c r="H31" s="25"/>
      <c r="I31" s="37"/>
      <c r="J31" s="23"/>
    </row>
    <row r="32" spans="1:16" ht="28.5" customHeight="1" x14ac:dyDescent="0.3">
      <c r="A32" s="193" t="s">
        <v>59</v>
      </c>
      <c r="B32" s="193"/>
      <c r="C32" s="194" t="s">
        <v>150</v>
      </c>
      <c r="D32" s="194"/>
      <c r="E32" s="38"/>
      <c r="F32" s="38"/>
      <c r="G32" s="24"/>
      <c r="H32" s="25"/>
      <c r="I32" s="26"/>
      <c r="J32" s="25"/>
    </row>
    <row r="33" spans="1:16" x14ac:dyDescent="0.3">
      <c r="A33" s="193" t="s">
        <v>61</v>
      </c>
      <c r="B33" s="193"/>
      <c r="C33" s="184" t="s">
        <v>89</v>
      </c>
      <c r="D33" s="185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92" t="s">
        <v>58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</row>
    <row r="36" spans="1:16" x14ac:dyDescent="0.3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17</v>
      </c>
      <c r="M39" s="21" t="s">
        <v>54</v>
      </c>
      <c r="N39" s="21" t="s">
        <v>53</v>
      </c>
      <c r="O39" s="42" t="s">
        <v>34</v>
      </c>
    </row>
    <row r="40" spans="1:16" ht="15.6" hidden="1" x14ac:dyDescent="0.3">
      <c r="K40" s="5" t="s">
        <v>10</v>
      </c>
      <c r="L40" s="8" t="s">
        <v>18</v>
      </c>
      <c r="M40" s="6">
        <v>0</v>
      </c>
      <c r="N40" s="44" t="s">
        <v>18</v>
      </c>
      <c r="O40" s="6" t="s">
        <v>35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19</v>
      </c>
      <c r="M41" s="15">
        <v>1</v>
      </c>
      <c r="N41" s="43" t="s">
        <v>19</v>
      </c>
      <c r="O41" s="6" t="s">
        <v>36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37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38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39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40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41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42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43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44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45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46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  <row r="62" spans="5:15" x14ac:dyDescent="0.3">
      <c r="K62" s="1"/>
    </row>
    <row r="63" spans="5:15" x14ac:dyDescent="0.3">
      <c r="K63" s="1"/>
    </row>
  </sheetData>
  <sheetProtection selectLockedCells="1"/>
  <dataConsolidate/>
  <mergeCells count="49">
    <mergeCell ref="H10:K10"/>
    <mergeCell ref="B15:C22"/>
    <mergeCell ref="D15:D22"/>
    <mergeCell ref="E15:E22"/>
    <mergeCell ref="F15:F22"/>
    <mergeCell ref="B10:C10"/>
    <mergeCell ref="G15:G22"/>
    <mergeCell ref="J1:K1"/>
    <mergeCell ref="J3:K3"/>
    <mergeCell ref="C1:H3"/>
    <mergeCell ref="B26:C26"/>
    <mergeCell ref="H26:K26"/>
    <mergeCell ref="B11:C11"/>
    <mergeCell ref="B12:C12"/>
    <mergeCell ref="B13:C13"/>
    <mergeCell ref="H11:K11"/>
    <mergeCell ref="B14:C14"/>
    <mergeCell ref="H14:K14"/>
    <mergeCell ref="H12:K12"/>
    <mergeCell ref="H13:K13"/>
    <mergeCell ref="H22:K22"/>
    <mergeCell ref="H23:K23"/>
    <mergeCell ref="A1:B3"/>
    <mergeCell ref="C5:G5"/>
    <mergeCell ref="I5:J5"/>
    <mergeCell ref="B8:C8"/>
    <mergeCell ref="B9:C9"/>
    <mergeCell ref="A7:K7"/>
    <mergeCell ref="H8:K8"/>
    <mergeCell ref="H9:K9"/>
    <mergeCell ref="A30:F30"/>
    <mergeCell ref="G30:K30"/>
    <mergeCell ref="B29:C29"/>
    <mergeCell ref="H29:K29"/>
    <mergeCell ref="A35:K36"/>
    <mergeCell ref="A32:B32"/>
    <mergeCell ref="C32:D32"/>
    <mergeCell ref="A33:B33"/>
    <mergeCell ref="C33:D33"/>
    <mergeCell ref="A15:A22"/>
    <mergeCell ref="B27:C27"/>
    <mergeCell ref="H27:K27"/>
    <mergeCell ref="B28:C28"/>
    <mergeCell ref="H28:K28"/>
    <mergeCell ref="H24:K24"/>
    <mergeCell ref="B25:C25"/>
    <mergeCell ref="H25:K25"/>
    <mergeCell ref="B24:C24"/>
    <mergeCell ref="B23:C23"/>
  </mergeCells>
  <dataValidations count="4">
    <dataValidation type="list" allowBlank="1" showInputMessage="1" showErrorMessage="1" sqref="D9" xr:uid="{00000000-0002-0000-0900-000000000000}">
      <formula1>$M$33:$M$48</formula1>
    </dataValidation>
    <dataValidation type="list" allowBlank="1" showInputMessage="1" showErrorMessage="1" sqref="D10:D14 D23:D25 D27:D29 D26:F26" xr:uid="{00000000-0002-0000-0900-000001000000}">
      <formula1>$M$33:$M$49</formula1>
    </dataValidation>
    <dataValidation type="list" allowBlank="1" showInputMessage="1" showErrorMessage="1" sqref="D15 E9:F15 E23:F25 E27:F29" xr:uid="{00000000-0002-0000-0900-000002000000}">
      <formula1>$M$41:$M$55</formula1>
    </dataValidation>
    <dataValidation type="list" allowBlank="1" showInputMessage="1" showErrorMessage="1" sqref="C5:G5" xr:uid="{00000000-0002-0000-0900-000003000000}">
      <formula1>$P$9:$P$27</formula1>
    </dataValidation>
  </dataValidations>
  <pageMargins left="0.39370078740157483" right="0.39370078740157483" top="0.59055118110236227" bottom="0.59055118110236227" header="0.31496062992125984" footer="0.31496062992125984"/>
  <pageSetup scale="66" orientation="portrait" r:id="rId1"/>
  <headerFooter>
    <oddFooter>&amp;RPág. &amp;P -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A1:Q61"/>
  <sheetViews>
    <sheetView view="pageBreakPreview" topLeftCell="A10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31.664062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" style="2" customWidth="1" collapsed="1"/>
    <col min="12" max="12" width="14.44140625" style="2" customWidth="1" collapsed="1"/>
    <col min="13" max="14" width="11.44140625" style="6" customWidth="1" collapsed="1"/>
    <col min="15" max="16" width="11.44140625" style="2" customWidth="1" collapsed="1"/>
    <col min="17" max="17" width="0" style="2" hidden="1" customWidth="1" collapsed="1"/>
    <col min="18" max="16384" width="11.44140625" style="2" collapsed="1"/>
  </cols>
  <sheetData>
    <row r="1" spans="1:17" ht="15" customHeight="1" x14ac:dyDescent="0.3">
      <c r="A1" s="149"/>
      <c r="B1" s="149"/>
      <c r="C1" s="156" t="s">
        <v>16</v>
      </c>
      <c r="D1" s="157"/>
      <c r="E1" s="157"/>
      <c r="F1" s="157"/>
      <c r="G1" s="157"/>
      <c r="H1" s="158"/>
      <c r="I1" s="30" t="s">
        <v>25</v>
      </c>
      <c r="J1" s="210" t="s">
        <v>49</v>
      </c>
      <c r="K1" s="211"/>
    </row>
    <row r="2" spans="1:17" ht="20.2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17" x14ac:dyDescent="0.3">
      <c r="A3" s="149"/>
      <c r="B3" s="149"/>
      <c r="C3" s="162"/>
      <c r="D3" s="163"/>
      <c r="E3" s="163"/>
      <c r="F3" s="163"/>
      <c r="G3" s="163"/>
      <c r="H3" s="164"/>
      <c r="I3" s="30" t="s">
        <v>27</v>
      </c>
      <c r="J3" s="154">
        <v>42286</v>
      </c>
      <c r="K3" s="155"/>
    </row>
    <row r="4" spans="1:17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7" ht="15.75" customHeight="1" x14ac:dyDescent="0.3">
      <c r="A5" s="3"/>
      <c r="B5" s="13" t="s">
        <v>32</v>
      </c>
      <c r="C5" s="150" t="s">
        <v>7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17" ht="15.75" customHeight="1" x14ac:dyDescent="0.3">
      <c r="A6" s="18"/>
      <c r="E6" s="19"/>
      <c r="F6" s="19"/>
      <c r="G6" s="11"/>
    </row>
    <row r="7" spans="1:17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7" ht="28.8" x14ac:dyDescent="0.3">
      <c r="A8" s="48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17" ht="18" customHeight="1" x14ac:dyDescent="0.3">
      <c r="A9" s="29">
        <v>1</v>
      </c>
      <c r="B9" s="124" t="s">
        <v>29</v>
      </c>
      <c r="C9" s="125"/>
      <c r="D9" s="28">
        <v>3</v>
      </c>
      <c r="E9" s="7">
        <v>3</v>
      </c>
      <c r="F9" s="7">
        <v>3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  <c r="Q9" s="2" t="s">
        <v>2</v>
      </c>
    </row>
    <row r="10" spans="1:17" ht="18" customHeight="1" x14ac:dyDescent="0.3">
      <c r="A10" s="29">
        <v>2</v>
      </c>
      <c r="B10" s="124" t="s">
        <v>28</v>
      </c>
      <c r="C10" s="125"/>
      <c r="D10" s="28">
        <v>3</v>
      </c>
      <c r="E10" s="7">
        <v>3</v>
      </c>
      <c r="F10" s="7">
        <v>3</v>
      </c>
      <c r="G10" s="22">
        <f t="shared" ref="G10:G29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Q10" s="2" t="s">
        <v>48</v>
      </c>
    </row>
    <row r="11" spans="1:17" ht="18" customHeight="1" x14ac:dyDescent="0.3">
      <c r="A11" s="29">
        <v>3</v>
      </c>
      <c r="B11" s="124" t="s">
        <v>31</v>
      </c>
      <c r="C11" s="125"/>
      <c r="D11" s="28">
        <v>3</v>
      </c>
      <c r="E11" s="7">
        <v>3</v>
      </c>
      <c r="F11" s="7">
        <v>3</v>
      </c>
      <c r="G11" s="22">
        <f t="shared" si="0"/>
        <v>1</v>
      </c>
      <c r="H11" s="134"/>
      <c r="I11" s="134"/>
      <c r="J11" s="134"/>
      <c r="K11" s="134"/>
      <c r="Q11" s="2" t="s">
        <v>121</v>
      </c>
    </row>
    <row r="12" spans="1:17" ht="18" customHeight="1" x14ac:dyDescent="0.3">
      <c r="A12" s="29">
        <v>4</v>
      </c>
      <c r="B12" s="124" t="s">
        <v>30</v>
      </c>
      <c r="C12" s="125"/>
      <c r="D12" s="28">
        <v>3</v>
      </c>
      <c r="E12" s="7">
        <v>3</v>
      </c>
      <c r="F12" s="7">
        <v>3</v>
      </c>
      <c r="G12" s="22">
        <f t="shared" si="0"/>
        <v>1</v>
      </c>
      <c r="H12" s="134"/>
      <c r="I12" s="134"/>
      <c r="J12" s="134"/>
      <c r="K12" s="134"/>
      <c r="Q12" s="2" t="s">
        <v>13</v>
      </c>
    </row>
    <row r="13" spans="1:17" ht="18" customHeight="1" x14ac:dyDescent="0.3">
      <c r="A13" s="29">
        <v>5</v>
      </c>
      <c r="B13" s="124" t="s">
        <v>22</v>
      </c>
      <c r="C13" s="125"/>
      <c r="D13" s="28">
        <v>3</v>
      </c>
      <c r="E13" s="7">
        <v>3</v>
      </c>
      <c r="F13" s="7">
        <v>3</v>
      </c>
      <c r="G13" s="22">
        <f t="shared" si="0"/>
        <v>1</v>
      </c>
      <c r="H13" s="134"/>
      <c r="I13" s="134"/>
      <c r="J13" s="134"/>
      <c r="K13" s="134"/>
      <c r="Q13" s="2" t="s">
        <v>47</v>
      </c>
    </row>
    <row r="14" spans="1:17" ht="18" customHeight="1" x14ac:dyDescent="0.3">
      <c r="A14" s="29">
        <v>6</v>
      </c>
      <c r="B14" s="126" t="s">
        <v>55</v>
      </c>
      <c r="C14" s="127"/>
      <c r="D14" s="28">
        <v>1</v>
      </c>
      <c r="E14" s="7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Q14" s="2" t="s">
        <v>12</v>
      </c>
    </row>
    <row r="15" spans="1:17" ht="18" customHeight="1" x14ac:dyDescent="0.3">
      <c r="A15" s="117">
        <v>7</v>
      </c>
      <c r="B15" s="135" t="s">
        <v>24</v>
      </c>
      <c r="C15" s="136"/>
      <c r="D15" s="141">
        <v>2</v>
      </c>
      <c r="E15" s="144">
        <v>2</v>
      </c>
      <c r="F15" s="144">
        <v>2</v>
      </c>
      <c r="G15" s="128">
        <f>IF(D15="","",IF(D15=0,"-",IF(F15&gt;D15,"ERROR",IF(E15&gt;D15,"ERROR",IF(E15&lt;D15,0,IF(E15&gt;F15,0,IF(F15=D15,1,0)))))))</f>
        <v>1</v>
      </c>
      <c r="H15" s="51" t="s">
        <v>63</v>
      </c>
      <c r="I15" s="72"/>
      <c r="J15" s="51" t="s">
        <v>62</v>
      </c>
      <c r="K15" s="46"/>
      <c r="Q15" s="2" t="s">
        <v>122</v>
      </c>
    </row>
    <row r="16" spans="1:17" ht="18" customHeight="1" x14ac:dyDescent="0.3">
      <c r="A16" s="118"/>
      <c r="B16" s="137"/>
      <c r="C16" s="138"/>
      <c r="D16" s="142"/>
      <c r="E16" s="145"/>
      <c r="F16" s="145"/>
      <c r="G16" s="129"/>
      <c r="H16" s="51" t="s">
        <v>64</v>
      </c>
      <c r="I16" s="72"/>
      <c r="J16" s="51" t="s">
        <v>62</v>
      </c>
      <c r="K16" s="46"/>
      <c r="M16" s="2"/>
      <c r="N16" s="2"/>
      <c r="Q16" s="2" t="s">
        <v>123</v>
      </c>
    </row>
    <row r="17" spans="1:17" ht="18" customHeight="1" x14ac:dyDescent="0.3">
      <c r="A17" s="118"/>
      <c r="B17" s="137"/>
      <c r="C17" s="138"/>
      <c r="D17" s="142"/>
      <c r="E17" s="145"/>
      <c r="F17" s="145"/>
      <c r="G17" s="129"/>
      <c r="H17" s="51" t="s">
        <v>65</v>
      </c>
      <c r="I17" s="72"/>
      <c r="J17" s="51" t="s">
        <v>62</v>
      </c>
      <c r="K17" s="46"/>
      <c r="M17" s="2"/>
      <c r="N17" s="2"/>
      <c r="Q17" s="2" t="s">
        <v>14</v>
      </c>
    </row>
    <row r="18" spans="1:17" ht="18" customHeight="1" x14ac:dyDescent="0.3">
      <c r="A18" s="118"/>
      <c r="B18" s="137"/>
      <c r="C18" s="138"/>
      <c r="D18" s="142"/>
      <c r="E18" s="145"/>
      <c r="F18" s="145"/>
      <c r="G18" s="129"/>
      <c r="H18" s="51" t="s">
        <v>66</v>
      </c>
      <c r="I18" s="46"/>
      <c r="J18" s="51" t="s">
        <v>62</v>
      </c>
      <c r="K18" s="46"/>
      <c r="M18" s="2"/>
      <c r="N18" s="2"/>
      <c r="Q18" s="2" t="s">
        <v>6</v>
      </c>
    </row>
    <row r="19" spans="1:17" ht="18" customHeight="1" x14ac:dyDescent="0.3">
      <c r="A19" s="118"/>
      <c r="B19" s="137"/>
      <c r="C19" s="138"/>
      <c r="D19" s="142"/>
      <c r="E19" s="145"/>
      <c r="F19" s="145"/>
      <c r="G19" s="129"/>
      <c r="H19" s="51" t="s">
        <v>67</v>
      </c>
      <c r="I19" s="46"/>
      <c r="J19" s="51" t="s">
        <v>62</v>
      </c>
      <c r="K19" s="46"/>
      <c r="M19" s="2"/>
      <c r="N19" s="2"/>
      <c r="Q19" s="2" t="s">
        <v>78</v>
      </c>
    </row>
    <row r="20" spans="1:17" ht="18" customHeight="1" x14ac:dyDescent="0.3">
      <c r="A20" s="118"/>
      <c r="B20" s="137"/>
      <c r="C20" s="138"/>
      <c r="D20" s="142"/>
      <c r="E20" s="145"/>
      <c r="F20" s="145"/>
      <c r="G20" s="129"/>
      <c r="H20" s="51" t="s">
        <v>68</v>
      </c>
      <c r="I20" s="45"/>
      <c r="J20" s="51" t="s">
        <v>62</v>
      </c>
      <c r="K20" s="46"/>
      <c r="M20" s="2"/>
      <c r="N20" s="2"/>
      <c r="Q20" s="2" t="s">
        <v>7</v>
      </c>
    </row>
    <row r="21" spans="1:17" ht="18.75" customHeight="1" x14ac:dyDescent="0.3">
      <c r="A21" s="118"/>
      <c r="B21" s="137"/>
      <c r="C21" s="138"/>
      <c r="D21" s="142"/>
      <c r="E21" s="145"/>
      <c r="F21" s="145"/>
      <c r="G21" s="129"/>
      <c r="H21" s="51" t="s">
        <v>69</v>
      </c>
      <c r="I21" s="45"/>
      <c r="J21" s="51" t="s">
        <v>62</v>
      </c>
      <c r="K21" s="46"/>
      <c r="L21" s="4"/>
      <c r="M21" s="2"/>
      <c r="N21" s="2"/>
      <c r="Q21" s="2" t="s">
        <v>124</v>
      </c>
    </row>
    <row r="22" spans="1:17" ht="18.75" customHeight="1" x14ac:dyDescent="0.3">
      <c r="A22" s="119"/>
      <c r="B22" s="139"/>
      <c r="C22" s="140"/>
      <c r="D22" s="143"/>
      <c r="E22" s="146"/>
      <c r="F22" s="146"/>
      <c r="G22" s="130"/>
      <c r="H22" s="131"/>
      <c r="I22" s="132"/>
      <c r="J22" s="132"/>
      <c r="K22" s="133"/>
      <c r="L22" s="4"/>
      <c r="M22" s="2"/>
      <c r="N22" s="2"/>
      <c r="Q22" s="2" t="s">
        <v>125</v>
      </c>
    </row>
    <row r="23" spans="1:17" ht="18" customHeight="1" x14ac:dyDescent="0.3">
      <c r="A23" s="29">
        <v>8</v>
      </c>
      <c r="B23" s="126" t="s">
        <v>21</v>
      </c>
      <c r="C23" s="127"/>
      <c r="D23" s="28">
        <v>1</v>
      </c>
      <c r="E23" s="7">
        <v>1</v>
      </c>
      <c r="F23" s="7">
        <v>1</v>
      </c>
      <c r="G23" s="22">
        <f t="shared" si="0"/>
        <v>1</v>
      </c>
      <c r="H23" s="134"/>
      <c r="I23" s="134"/>
      <c r="J23" s="134"/>
      <c r="K23" s="134"/>
      <c r="M23" s="2"/>
      <c r="N23" s="2"/>
      <c r="Q23" s="2" t="s">
        <v>126</v>
      </c>
    </row>
    <row r="24" spans="1:17" ht="18" customHeight="1" x14ac:dyDescent="0.3">
      <c r="A24" s="29">
        <v>9</v>
      </c>
      <c r="B24" s="126" t="s">
        <v>20</v>
      </c>
      <c r="C24" s="127"/>
      <c r="D24" s="28">
        <v>1</v>
      </c>
      <c r="E24" s="7">
        <v>1</v>
      </c>
      <c r="F24" s="7">
        <v>1</v>
      </c>
      <c r="G24" s="22">
        <f t="shared" si="0"/>
        <v>1</v>
      </c>
      <c r="H24" s="134"/>
      <c r="I24" s="134"/>
      <c r="J24" s="134"/>
      <c r="K24" s="134"/>
      <c r="M24" s="2"/>
      <c r="N24" s="2"/>
      <c r="Q24" s="2" t="s">
        <v>127</v>
      </c>
    </row>
    <row r="25" spans="1:17" ht="18" customHeight="1" x14ac:dyDescent="0.3">
      <c r="A25" s="29">
        <v>10</v>
      </c>
      <c r="B25" s="124" t="s">
        <v>8</v>
      </c>
      <c r="C25" s="125"/>
      <c r="D25" s="28">
        <v>3</v>
      </c>
      <c r="E25" s="7">
        <v>3</v>
      </c>
      <c r="F25" s="7">
        <v>3</v>
      </c>
      <c r="G25" s="22">
        <f t="shared" si="0"/>
        <v>1</v>
      </c>
      <c r="H25" s="134"/>
      <c r="I25" s="134"/>
      <c r="J25" s="134"/>
      <c r="K25" s="134"/>
      <c r="M25" s="2"/>
      <c r="N25" s="2"/>
      <c r="Q25" s="2" t="s">
        <v>128</v>
      </c>
    </row>
    <row r="26" spans="1:17" ht="18" customHeight="1" x14ac:dyDescent="0.3">
      <c r="A26" s="29">
        <v>11</v>
      </c>
      <c r="B26" s="122" t="s">
        <v>132</v>
      </c>
      <c r="C26" s="123"/>
      <c r="D26" s="28">
        <v>2</v>
      </c>
      <c r="E26" s="28">
        <v>2</v>
      </c>
      <c r="F26" s="28">
        <v>2</v>
      </c>
      <c r="G26" s="22">
        <f t="shared" si="0"/>
        <v>1</v>
      </c>
      <c r="H26" s="175"/>
      <c r="I26" s="176"/>
      <c r="J26" s="176"/>
      <c r="K26" s="177"/>
      <c r="M26" s="2"/>
      <c r="N26" s="2"/>
      <c r="Q26" s="2" t="s">
        <v>129</v>
      </c>
    </row>
    <row r="27" spans="1:17" ht="18" customHeight="1" x14ac:dyDescent="0.3">
      <c r="A27" s="29">
        <v>12</v>
      </c>
      <c r="B27" s="120" t="s">
        <v>60</v>
      </c>
      <c r="C27" s="121"/>
      <c r="D27" s="28">
        <v>1</v>
      </c>
      <c r="E27" s="7">
        <v>1</v>
      </c>
      <c r="F27" s="7">
        <v>1</v>
      </c>
      <c r="G27" s="22">
        <f t="shared" si="0"/>
        <v>1</v>
      </c>
      <c r="H27" s="134"/>
      <c r="I27" s="134"/>
      <c r="J27" s="134"/>
      <c r="K27" s="134"/>
      <c r="Q27" s="2" t="s">
        <v>130</v>
      </c>
    </row>
    <row r="28" spans="1:17" ht="18" customHeight="1" x14ac:dyDescent="0.3">
      <c r="A28" s="29">
        <v>13</v>
      </c>
      <c r="B28" s="195" t="s">
        <v>56</v>
      </c>
      <c r="C28" s="196"/>
      <c r="D28" s="47">
        <v>1</v>
      </c>
      <c r="E28" s="7">
        <v>1</v>
      </c>
      <c r="F28" s="7">
        <v>1</v>
      </c>
      <c r="G28" s="49">
        <f t="shared" si="0"/>
        <v>1</v>
      </c>
      <c r="H28" s="197"/>
      <c r="I28" s="197"/>
      <c r="J28" s="197"/>
      <c r="K28" s="197"/>
    </row>
    <row r="29" spans="1:17" ht="18" customHeight="1" thickBot="1" x14ac:dyDescent="0.35">
      <c r="A29" s="29">
        <v>14</v>
      </c>
      <c r="B29" s="203" t="s">
        <v>70</v>
      </c>
      <c r="C29" s="204"/>
      <c r="D29" s="28">
        <v>2</v>
      </c>
      <c r="E29" s="7">
        <v>2</v>
      </c>
      <c r="F29" s="7">
        <v>2</v>
      </c>
      <c r="G29" s="22">
        <f t="shared" si="0"/>
        <v>1</v>
      </c>
      <c r="H29" s="134"/>
      <c r="I29" s="134"/>
      <c r="J29" s="134"/>
      <c r="K29" s="134"/>
    </row>
    <row r="30" spans="1:17" ht="19.5" customHeight="1" thickBot="1" x14ac:dyDescent="0.35">
      <c r="A30" s="198" t="s">
        <v>57</v>
      </c>
      <c r="B30" s="199"/>
      <c r="C30" s="199"/>
      <c r="D30" s="199"/>
      <c r="E30" s="199"/>
      <c r="F30" s="199"/>
      <c r="G30" s="200">
        <f>IFERROR(AVERAGE(G9:G28),"-")</f>
        <v>1</v>
      </c>
      <c r="H30" s="201"/>
      <c r="I30" s="201"/>
      <c r="J30" s="201"/>
      <c r="K30" s="202"/>
    </row>
    <row r="31" spans="1:17" ht="17.25" customHeight="1" x14ac:dyDescent="0.3">
      <c r="A31" s="34"/>
      <c r="E31" s="17"/>
      <c r="F31" s="35"/>
      <c r="G31" s="36"/>
      <c r="H31" s="25"/>
      <c r="I31" s="37"/>
      <c r="J31" s="23"/>
    </row>
    <row r="32" spans="1:17" ht="28.5" customHeight="1" x14ac:dyDescent="0.3">
      <c r="A32" s="193" t="s">
        <v>59</v>
      </c>
      <c r="B32" s="193"/>
      <c r="C32" s="194" t="s">
        <v>151</v>
      </c>
      <c r="D32" s="194"/>
      <c r="E32" s="38"/>
      <c r="F32" s="38"/>
      <c r="G32" s="24"/>
      <c r="H32" s="25"/>
      <c r="I32" s="26"/>
      <c r="J32" s="25"/>
    </row>
    <row r="33" spans="1:16" x14ac:dyDescent="0.3">
      <c r="A33" s="193" t="s">
        <v>61</v>
      </c>
      <c r="B33" s="193"/>
      <c r="C33" s="184" t="s">
        <v>85</v>
      </c>
      <c r="D33" s="185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92" t="s">
        <v>58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</row>
    <row r="36" spans="1:16" x14ac:dyDescent="0.3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17</v>
      </c>
      <c r="M39" s="21" t="s">
        <v>54</v>
      </c>
      <c r="N39" s="21" t="s">
        <v>53</v>
      </c>
      <c r="O39" s="42" t="s">
        <v>34</v>
      </c>
    </row>
    <row r="40" spans="1:16" ht="15.6" hidden="1" x14ac:dyDescent="0.3">
      <c r="K40" s="5" t="s">
        <v>10</v>
      </c>
      <c r="L40" s="8" t="s">
        <v>18</v>
      </c>
      <c r="M40" s="6">
        <v>0</v>
      </c>
      <c r="N40" s="44" t="s">
        <v>18</v>
      </c>
      <c r="O40" s="6" t="s">
        <v>35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19</v>
      </c>
      <c r="M41" s="15">
        <v>1</v>
      </c>
      <c r="N41" s="43" t="s">
        <v>19</v>
      </c>
      <c r="O41" s="6" t="s">
        <v>36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37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38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39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40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41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42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43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44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45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46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hidden="1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</sheetData>
  <sheetProtection algorithmName="SHA-512" hashValue="aTs77KIukDLAnOTWYMb8zze3mHpLSxWqjMKgYwCbow0NgVnstDsrC25V6o3m7v7wQa+Xb3nqC16pMR1ESMod4Q==" saltValue="cH3Wj72wynUN6eDhS7tZsw==" spinCount="100000" sheet="1" selectLockedCells="1"/>
  <dataConsolidate/>
  <mergeCells count="49">
    <mergeCell ref="H22:K22"/>
    <mergeCell ref="B14:C14"/>
    <mergeCell ref="A15:A22"/>
    <mergeCell ref="B15:C22"/>
    <mergeCell ref="D15:D22"/>
    <mergeCell ref="E15:E22"/>
    <mergeCell ref="F15:F22"/>
    <mergeCell ref="J1:K1"/>
    <mergeCell ref="J3:K3"/>
    <mergeCell ref="C1:H3"/>
    <mergeCell ref="A1:B3"/>
    <mergeCell ref="H10:K10"/>
    <mergeCell ref="B10:C10"/>
    <mergeCell ref="B9:C9"/>
    <mergeCell ref="H9:K9"/>
    <mergeCell ref="C5:G5"/>
    <mergeCell ref="I5:J5"/>
    <mergeCell ref="B8:C8"/>
    <mergeCell ref="A7:K7"/>
    <mergeCell ref="H8:K8"/>
    <mergeCell ref="B26:C26"/>
    <mergeCell ref="H26:K26"/>
    <mergeCell ref="B11:C11"/>
    <mergeCell ref="B12:C12"/>
    <mergeCell ref="B13:C13"/>
    <mergeCell ref="H23:K23"/>
    <mergeCell ref="H24:K24"/>
    <mergeCell ref="B25:C25"/>
    <mergeCell ref="H25:K25"/>
    <mergeCell ref="B24:C24"/>
    <mergeCell ref="B23:C23"/>
    <mergeCell ref="H11:K11"/>
    <mergeCell ref="H12:K12"/>
    <mergeCell ref="H13:K13"/>
    <mergeCell ref="H14:K14"/>
    <mergeCell ref="G15:G22"/>
    <mergeCell ref="B27:C27"/>
    <mergeCell ref="H27:K27"/>
    <mergeCell ref="B28:C28"/>
    <mergeCell ref="H28:K28"/>
    <mergeCell ref="A30:F30"/>
    <mergeCell ref="G30:K30"/>
    <mergeCell ref="B29:C29"/>
    <mergeCell ref="H29:K29"/>
    <mergeCell ref="A35:K36"/>
    <mergeCell ref="A32:B32"/>
    <mergeCell ref="C32:D32"/>
    <mergeCell ref="A33:B33"/>
    <mergeCell ref="C33:D33"/>
  </mergeCells>
  <dataValidations count="4">
    <dataValidation type="list" allowBlank="1" showInputMessage="1" showErrorMessage="1" sqref="D9" xr:uid="{00000000-0002-0000-0A00-000000000000}">
      <formula1>$M$33:$M$48</formula1>
    </dataValidation>
    <dataValidation type="list" allowBlank="1" showInputMessage="1" showErrorMessage="1" sqref="D10:D14 D23:D25 D27:D29 D26:F26" xr:uid="{00000000-0002-0000-0A00-000001000000}">
      <formula1>$M$33:$M$49</formula1>
    </dataValidation>
    <dataValidation type="list" allowBlank="1" showInputMessage="1" showErrorMessage="1" sqref="D15 E9:F15 E23:F25 E27:F29" xr:uid="{00000000-0002-0000-0A00-000002000000}">
      <formula1>$M$41:$M$55</formula1>
    </dataValidation>
    <dataValidation type="list" allowBlank="1" showInputMessage="1" showErrorMessage="1" sqref="C5:G5" xr:uid="{00000000-0002-0000-0A00-000003000000}">
      <formula1>$Q$9:$Q$27</formula1>
    </dataValidation>
  </dataValidations>
  <pageMargins left="0.39370078740157483" right="0.39370078740157483" top="0.59055118110236227" bottom="0.59055118110236227" header="0.31496062992125984" footer="0.31496062992125984"/>
  <pageSetup scale="67" orientation="portrait" r:id="rId1"/>
  <headerFooter>
    <oddFooter>&amp;RPág. &amp;P -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A1:Q63"/>
  <sheetViews>
    <sheetView view="pageBreakPreview" topLeftCell="A13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33.3320312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3" style="2" customWidth="1" collapsed="1"/>
    <col min="12" max="12" width="14.44140625" style="2" customWidth="1" collapsed="1"/>
    <col min="13" max="14" width="11.44140625" style="6" customWidth="1" collapsed="1"/>
    <col min="15" max="16" width="11.44140625" style="2" customWidth="1" collapsed="1"/>
    <col min="17" max="17" width="0" style="2" hidden="1" customWidth="1" collapsed="1"/>
    <col min="18" max="16384" width="11.44140625" style="2" collapsed="1"/>
  </cols>
  <sheetData>
    <row r="1" spans="1:17" ht="15" customHeight="1" x14ac:dyDescent="0.3">
      <c r="A1" s="149"/>
      <c r="B1" s="149"/>
      <c r="C1" s="156" t="s">
        <v>16</v>
      </c>
      <c r="D1" s="157"/>
      <c r="E1" s="157"/>
      <c r="F1" s="157"/>
      <c r="G1" s="157"/>
      <c r="H1" s="158"/>
      <c r="I1" s="30" t="s">
        <v>25</v>
      </c>
      <c r="J1" s="210" t="s">
        <v>49</v>
      </c>
      <c r="K1" s="211"/>
    </row>
    <row r="2" spans="1:17" ht="20.2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17" x14ac:dyDescent="0.3">
      <c r="A3" s="149"/>
      <c r="B3" s="149"/>
      <c r="C3" s="162"/>
      <c r="D3" s="163"/>
      <c r="E3" s="163"/>
      <c r="F3" s="163"/>
      <c r="G3" s="163"/>
      <c r="H3" s="164"/>
      <c r="I3" s="30" t="s">
        <v>27</v>
      </c>
      <c r="J3" s="154">
        <v>42286</v>
      </c>
      <c r="K3" s="155"/>
    </row>
    <row r="4" spans="1:17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7" ht="15.75" customHeight="1" x14ac:dyDescent="0.3">
      <c r="A5" s="3"/>
      <c r="B5" s="13" t="s">
        <v>32</v>
      </c>
      <c r="C5" s="150" t="s">
        <v>15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17" ht="15.75" customHeight="1" x14ac:dyDescent="0.3">
      <c r="A6" s="18"/>
      <c r="E6" s="19"/>
      <c r="F6" s="19"/>
      <c r="G6" s="11"/>
    </row>
    <row r="7" spans="1:17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7" ht="28.8" x14ac:dyDescent="0.3">
      <c r="A8" s="48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17" ht="18" customHeight="1" x14ac:dyDescent="0.3">
      <c r="A9" s="29">
        <v>1</v>
      </c>
      <c r="B9" s="124" t="s">
        <v>29</v>
      </c>
      <c r="C9" s="125"/>
      <c r="D9" s="28">
        <v>8</v>
      </c>
      <c r="E9" s="7">
        <v>8</v>
      </c>
      <c r="F9" s="7">
        <v>8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  <c r="Q9" s="2" t="s">
        <v>2</v>
      </c>
    </row>
    <row r="10" spans="1:17" ht="18" customHeight="1" x14ac:dyDescent="0.3">
      <c r="A10" s="29">
        <v>2</v>
      </c>
      <c r="B10" s="124" t="s">
        <v>28</v>
      </c>
      <c r="C10" s="125"/>
      <c r="D10" s="28">
        <v>8</v>
      </c>
      <c r="E10" s="7">
        <v>8</v>
      </c>
      <c r="F10" s="7">
        <v>8</v>
      </c>
      <c r="G10" s="22">
        <f t="shared" ref="G10:G31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Q10" s="2" t="s">
        <v>48</v>
      </c>
    </row>
    <row r="11" spans="1:17" ht="18" customHeight="1" x14ac:dyDescent="0.3">
      <c r="A11" s="29">
        <v>3</v>
      </c>
      <c r="B11" s="124" t="s">
        <v>31</v>
      </c>
      <c r="C11" s="125"/>
      <c r="D11" s="28">
        <v>8</v>
      </c>
      <c r="E11" s="7">
        <v>8</v>
      </c>
      <c r="F11" s="7">
        <v>8</v>
      </c>
      <c r="G11" s="22">
        <f t="shared" si="0"/>
        <v>1</v>
      </c>
      <c r="H11" s="134"/>
      <c r="I11" s="134"/>
      <c r="J11" s="134"/>
      <c r="K11" s="134"/>
      <c r="Q11" s="2" t="s">
        <v>121</v>
      </c>
    </row>
    <row r="12" spans="1:17" ht="18" customHeight="1" x14ac:dyDescent="0.3">
      <c r="A12" s="29">
        <v>4</v>
      </c>
      <c r="B12" s="124" t="s">
        <v>30</v>
      </c>
      <c r="C12" s="125"/>
      <c r="D12" s="28">
        <v>8</v>
      </c>
      <c r="E12" s="7">
        <v>8</v>
      </c>
      <c r="F12" s="7">
        <v>8</v>
      </c>
      <c r="G12" s="22">
        <f t="shared" si="0"/>
        <v>1</v>
      </c>
      <c r="H12" s="134"/>
      <c r="I12" s="134"/>
      <c r="J12" s="134"/>
      <c r="K12" s="134"/>
      <c r="Q12" s="2" t="s">
        <v>13</v>
      </c>
    </row>
    <row r="13" spans="1:17" ht="18" customHeight="1" x14ac:dyDescent="0.3">
      <c r="A13" s="29">
        <v>5</v>
      </c>
      <c r="B13" s="124" t="s">
        <v>22</v>
      </c>
      <c r="C13" s="125"/>
      <c r="D13" s="28">
        <v>8</v>
      </c>
      <c r="E13" s="7">
        <v>8</v>
      </c>
      <c r="F13" s="7">
        <v>8</v>
      </c>
      <c r="G13" s="22">
        <f t="shared" si="0"/>
        <v>1</v>
      </c>
      <c r="H13" s="134"/>
      <c r="I13" s="134"/>
      <c r="J13" s="134"/>
      <c r="K13" s="134"/>
      <c r="Q13" s="2" t="s">
        <v>47</v>
      </c>
    </row>
    <row r="14" spans="1:17" ht="18" customHeight="1" x14ac:dyDescent="0.3">
      <c r="A14" s="29">
        <v>6</v>
      </c>
      <c r="B14" s="126" t="s">
        <v>55</v>
      </c>
      <c r="C14" s="127"/>
      <c r="D14" s="28">
        <v>1</v>
      </c>
      <c r="E14" s="7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Q14" s="2" t="s">
        <v>12</v>
      </c>
    </row>
    <row r="15" spans="1:17" ht="18" customHeight="1" x14ac:dyDescent="0.3">
      <c r="A15" s="117">
        <v>7</v>
      </c>
      <c r="B15" s="135" t="s">
        <v>24</v>
      </c>
      <c r="C15" s="136"/>
      <c r="D15" s="141">
        <v>6</v>
      </c>
      <c r="E15" s="144">
        <v>6</v>
      </c>
      <c r="F15" s="144">
        <v>6</v>
      </c>
      <c r="G15" s="128">
        <f>IF(D15="","",IF(D15=0,"-",IF(F15&gt;D15,"ERROR",IF(E15&gt;D15,"ERROR",IF(E15&lt;D15,0,IF(E15&gt;F15,0,IF(F15=D15,1,0)))))))</f>
        <v>1</v>
      </c>
      <c r="H15" s="51" t="s">
        <v>63</v>
      </c>
      <c r="I15" s="46"/>
      <c r="J15" s="51" t="s">
        <v>62</v>
      </c>
      <c r="K15" s="46"/>
      <c r="Q15" s="2" t="s">
        <v>122</v>
      </c>
    </row>
    <row r="16" spans="1:17" ht="18" customHeight="1" x14ac:dyDescent="0.3">
      <c r="A16" s="118"/>
      <c r="B16" s="137"/>
      <c r="C16" s="138"/>
      <c r="D16" s="142"/>
      <c r="E16" s="145"/>
      <c r="F16" s="145"/>
      <c r="G16" s="129"/>
      <c r="H16" s="51" t="s">
        <v>64</v>
      </c>
      <c r="I16" s="46"/>
      <c r="J16" s="51" t="s">
        <v>62</v>
      </c>
      <c r="K16" s="46"/>
      <c r="M16" s="2"/>
      <c r="N16" s="2"/>
      <c r="Q16" s="2" t="s">
        <v>123</v>
      </c>
    </row>
    <row r="17" spans="1:17" ht="18" customHeight="1" x14ac:dyDescent="0.3">
      <c r="A17" s="118"/>
      <c r="B17" s="137"/>
      <c r="C17" s="138"/>
      <c r="D17" s="142"/>
      <c r="E17" s="145"/>
      <c r="F17" s="145"/>
      <c r="G17" s="129"/>
      <c r="H17" s="51" t="s">
        <v>65</v>
      </c>
      <c r="I17" s="46"/>
      <c r="J17" s="51" t="s">
        <v>62</v>
      </c>
      <c r="K17" s="46"/>
      <c r="M17" s="2"/>
      <c r="N17" s="2"/>
      <c r="Q17" s="2" t="s">
        <v>14</v>
      </c>
    </row>
    <row r="18" spans="1:17" ht="18" customHeight="1" x14ac:dyDescent="0.3">
      <c r="A18" s="118"/>
      <c r="B18" s="137"/>
      <c r="C18" s="138"/>
      <c r="D18" s="142"/>
      <c r="E18" s="145"/>
      <c r="F18" s="145"/>
      <c r="G18" s="129"/>
      <c r="H18" s="51" t="s">
        <v>66</v>
      </c>
      <c r="I18" s="58"/>
      <c r="J18" s="51" t="s">
        <v>62</v>
      </c>
      <c r="K18" s="58"/>
      <c r="M18" s="2"/>
      <c r="N18" s="2"/>
      <c r="Q18" s="2" t="s">
        <v>6</v>
      </c>
    </row>
    <row r="19" spans="1:17" ht="18" customHeight="1" x14ac:dyDescent="0.3">
      <c r="A19" s="118"/>
      <c r="B19" s="137"/>
      <c r="C19" s="138"/>
      <c r="D19" s="142"/>
      <c r="E19" s="145"/>
      <c r="F19" s="145"/>
      <c r="G19" s="129"/>
      <c r="H19" s="51" t="s">
        <v>67</v>
      </c>
      <c r="I19" s="58"/>
      <c r="J19" s="51" t="s">
        <v>62</v>
      </c>
      <c r="K19" s="58"/>
      <c r="M19" s="2"/>
      <c r="N19" s="2"/>
      <c r="Q19" s="2" t="s">
        <v>78</v>
      </c>
    </row>
    <row r="20" spans="1:17" ht="18" customHeight="1" x14ac:dyDescent="0.3">
      <c r="A20" s="118"/>
      <c r="B20" s="137"/>
      <c r="C20" s="138"/>
      <c r="D20" s="142"/>
      <c r="E20" s="145"/>
      <c r="F20" s="145"/>
      <c r="G20" s="129"/>
      <c r="H20" s="51" t="s">
        <v>68</v>
      </c>
      <c r="I20" s="46"/>
      <c r="J20" s="51" t="s">
        <v>62</v>
      </c>
      <c r="K20" s="46"/>
      <c r="M20" s="2"/>
      <c r="N20" s="2"/>
      <c r="Q20" s="2" t="s">
        <v>7</v>
      </c>
    </row>
    <row r="21" spans="1:17" ht="18" customHeight="1" x14ac:dyDescent="0.3">
      <c r="A21" s="118"/>
      <c r="B21" s="137"/>
      <c r="C21" s="138"/>
      <c r="D21" s="142"/>
      <c r="E21" s="145"/>
      <c r="F21" s="145"/>
      <c r="G21" s="129"/>
      <c r="H21" s="51" t="s">
        <v>69</v>
      </c>
      <c r="I21" s="46"/>
      <c r="J21" s="51" t="s">
        <v>62</v>
      </c>
      <c r="K21" s="46"/>
      <c r="M21" s="2"/>
      <c r="N21" s="2"/>
      <c r="Q21" s="2" t="s">
        <v>124</v>
      </c>
    </row>
    <row r="22" spans="1:17" ht="18" customHeight="1" x14ac:dyDescent="0.3">
      <c r="A22" s="118"/>
      <c r="B22" s="137"/>
      <c r="C22" s="138"/>
      <c r="D22" s="142"/>
      <c r="E22" s="145"/>
      <c r="F22" s="145"/>
      <c r="G22" s="129"/>
      <c r="H22" s="51" t="s">
        <v>87</v>
      </c>
      <c r="I22" s="45"/>
      <c r="J22" s="51" t="s">
        <v>62</v>
      </c>
      <c r="K22" s="46"/>
      <c r="M22" s="2"/>
      <c r="N22" s="2"/>
      <c r="Q22" s="2" t="s">
        <v>125</v>
      </c>
    </row>
    <row r="23" spans="1:17" ht="18.75" customHeight="1" x14ac:dyDescent="0.3">
      <c r="A23" s="118"/>
      <c r="B23" s="137"/>
      <c r="C23" s="138"/>
      <c r="D23" s="142"/>
      <c r="E23" s="145"/>
      <c r="F23" s="145"/>
      <c r="G23" s="129"/>
      <c r="H23" s="51" t="s">
        <v>86</v>
      </c>
      <c r="I23" s="45"/>
      <c r="J23" s="51" t="s">
        <v>62</v>
      </c>
      <c r="K23" s="46"/>
      <c r="L23" s="4"/>
      <c r="M23" s="2"/>
      <c r="N23" s="2"/>
      <c r="Q23" s="2" t="s">
        <v>126</v>
      </c>
    </row>
    <row r="24" spans="1:17" ht="18.75" customHeight="1" x14ac:dyDescent="0.3">
      <c r="A24" s="119"/>
      <c r="B24" s="139"/>
      <c r="C24" s="140"/>
      <c r="D24" s="143"/>
      <c r="E24" s="146"/>
      <c r="F24" s="146"/>
      <c r="G24" s="130"/>
      <c r="H24" s="131"/>
      <c r="I24" s="132"/>
      <c r="J24" s="132"/>
      <c r="K24" s="133"/>
      <c r="L24" s="4"/>
      <c r="M24" s="2"/>
      <c r="N24" s="2"/>
      <c r="Q24" s="2" t="s">
        <v>127</v>
      </c>
    </row>
    <row r="25" spans="1:17" ht="18" customHeight="1" x14ac:dyDescent="0.3">
      <c r="A25" s="29">
        <v>8</v>
      </c>
      <c r="B25" s="126" t="s">
        <v>21</v>
      </c>
      <c r="C25" s="127"/>
      <c r="D25" s="28">
        <v>3</v>
      </c>
      <c r="E25" s="7">
        <v>3</v>
      </c>
      <c r="F25" s="7">
        <v>3</v>
      </c>
      <c r="G25" s="22">
        <f t="shared" si="0"/>
        <v>1</v>
      </c>
      <c r="H25" s="134"/>
      <c r="I25" s="134"/>
      <c r="J25" s="134"/>
      <c r="K25" s="134"/>
      <c r="M25" s="2"/>
      <c r="N25" s="2"/>
      <c r="Q25" s="2" t="s">
        <v>128</v>
      </c>
    </row>
    <row r="26" spans="1:17" ht="18" customHeight="1" x14ac:dyDescent="0.3">
      <c r="A26" s="29">
        <v>9</v>
      </c>
      <c r="B26" s="126" t="s">
        <v>20</v>
      </c>
      <c r="C26" s="127"/>
      <c r="D26" s="28">
        <v>4</v>
      </c>
      <c r="E26" s="7">
        <v>4</v>
      </c>
      <c r="F26" s="7">
        <v>4</v>
      </c>
      <c r="G26" s="22">
        <f t="shared" si="0"/>
        <v>1</v>
      </c>
      <c r="H26" s="134"/>
      <c r="I26" s="134"/>
      <c r="J26" s="134"/>
      <c r="K26" s="134"/>
      <c r="M26" s="2"/>
      <c r="N26" s="2"/>
      <c r="Q26" s="2" t="s">
        <v>129</v>
      </c>
    </row>
    <row r="27" spans="1:17" ht="18" customHeight="1" x14ac:dyDescent="0.3">
      <c r="A27" s="29">
        <v>10</v>
      </c>
      <c r="B27" s="124" t="s">
        <v>8</v>
      </c>
      <c r="C27" s="125"/>
      <c r="D27" s="28">
        <v>8</v>
      </c>
      <c r="E27" s="7">
        <v>8</v>
      </c>
      <c r="F27" s="7">
        <v>8</v>
      </c>
      <c r="G27" s="22">
        <f t="shared" si="0"/>
        <v>1</v>
      </c>
      <c r="H27" s="134"/>
      <c r="I27" s="134"/>
      <c r="J27" s="134"/>
      <c r="K27" s="134"/>
      <c r="M27" s="2"/>
      <c r="N27" s="2"/>
      <c r="Q27" s="2" t="s">
        <v>130</v>
      </c>
    </row>
    <row r="28" spans="1:17" ht="18" customHeight="1" x14ac:dyDescent="0.3">
      <c r="A28" s="29">
        <v>11</v>
      </c>
      <c r="B28" s="122" t="s">
        <v>132</v>
      </c>
      <c r="C28" s="123"/>
      <c r="D28" s="28">
        <v>4</v>
      </c>
      <c r="E28" s="28">
        <v>4</v>
      </c>
      <c r="F28" s="28">
        <v>4</v>
      </c>
      <c r="G28" s="22">
        <f t="shared" si="0"/>
        <v>1</v>
      </c>
      <c r="H28" s="175"/>
      <c r="I28" s="176"/>
      <c r="J28" s="176"/>
      <c r="K28" s="177"/>
      <c r="M28" s="2"/>
      <c r="N28" s="2"/>
    </row>
    <row r="29" spans="1:17" ht="18" customHeight="1" x14ac:dyDescent="0.3">
      <c r="A29" s="29">
        <v>12</v>
      </c>
      <c r="B29" s="120" t="s">
        <v>60</v>
      </c>
      <c r="C29" s="121"/>
      <c r="D29" s="28">
        <v>1</v>
      </c>
      <c r="E29" s="7">
        <v>1</v>
      </c>
      <c r="F29" s="7">
        <v>1</v>
      </c>
      <c r="G29" s="22">
        <f t="shared" si="0"/>
        <v>1</v>
      </c>
      <c r="H29" s="134"/>
      <c r="I29" s="134"/>
      <c r="J29" s="134"/>
      <c r="K29" s="134"/>
    </row>
    <row r="30" spans="1:17" ht="18" customHeight="1" x14ac:dyDescent="0.3">
      <c r="A30" s="29">
        <v>13</v>
      </c>
      <c r="B30" s="195" t="s">
        <v>56</v>
      </c>
      <c r="C30" s="196"/>
      <c r="D30" s="47">
        <v>1</v>
      </c>
      <c r="E30" s="7">
        <v>1</v>
      </c>
      <c r="F30" s="7">
        <v>1</v>
      </c>
      <c r="G30" s="49">
        <f t="shared" si="0"/>
        <v>1</v>
      </c>
      <c r="H30" s="197"/>
      <c r="I30" s="197"/>
      <c r="J30" s="197"/>
      <c r="K30" s="197"/>
    </row>
    <row r="31" spans="1:17" ht="18" customHeight="1" thickBot="1" x14ac:dyDescent="0.35">
      <c r="A31" s="29">
        <v>14</v>
      </c>
      <c r="B31" s="203" t="s">
        <v>70</v>
      </c>
      <c r="C31" s="204"/>
      <c r="D31" s="28">
        <v>6</v>
      </c>
      <c r="E31" s="7">
        <v>6</v>
      </c>
      <c r="F31" s="7">
        <v>6</v>
      </c>
      <c r="G31" s="22">
        <f t="shared" si="0"/>
        <v>1</v>
      </c>
      <c r="H31" s="134"/>
      <c r="I31" s="134"/>
      <c r="J31" s="134"/>
      <c r="K31" s="134"/>
    </row>
    <row r="32" spans="1:17" ht="19.5" customHeight="1" thickBot="1" x14ac:dyDescent="0.35">
      <c r="A32" s="198" t="s">
        <v>57</v>
      </c>
      <c r="B32" s="199"/>
      <c r="C32" s="199"/>
      <c r="D32" s="199"/>
      <c r="E32" s="199"/>
      <c r="F32" s="199"/>
      <c r="G32" s="200">
        <f>IFERROR(AVERAGE(G9:G30),"-")</f>
        <v>1</v>
      </c>
      <c r="H32" s="201"/>
      <c r="I32" s="201"/>
      <c r="J32" s="201"/>
      <c r="K32" s="202"/>
    </row>
    <row r="33" spans="1:16" ht="17.25" customHeight="1" x14ac:dyDescent="0.3">
      <c r="A33" s="34"/>
      <c r="E33" s="17"/>
      <c r="F33" s="35"/>
      <c r="G33" s="36"/>
      <c r="H33" s="25"/>
      <c r="I33" s="37"/>
      <c r="J33" s="23"/>
    </row>
    <row r="34" spans="1:16" ht="28.5" customHeight="1" x14ac:dyDescent="0.3">
      <c r="A34" s="193" t="s">
        <v>59</v>
      </c>
      <c r="B34" s="193"/>
      <c r="C34" s="194" t="s">
        <v>140</v>
      </c>
      <c r="D34" s="194"/>
      <c r="E34" s="38"/>
      <c r="F34" s="38"/>
      <c r="G34" s="24"/>
      <c r="H34" s="25"/>
      <c r="I34" s="26"/>
      <c r="J34" s="25"/>
    </row>
    <row r="35" spans="1:16" x14ac:dyDescent="0.3">
      <c r="A35" s="193" t="s">
        <v>61</v>
      </c>
      <c r="B35" s="193"/>
      <c r="C35" s="184" t="s">
        <v>141</v>
      </c>
      <c r="D35" s="185"/>
      <c r="E35" s="39"/>
      <c r="F35" s="39"/>
      <c r="G35" s="27"/>
      <c r="H35" s="26"/>
      <c r="I35" s="26"/>
      <c r="J35" s="25"/>
    </row>
    <row r="36" spans="1:16" x14ac:dyDescent="0.3">
      <c r="A36" s="40"/>
      <c r="B36" s="40"/>
      <c r="C36" s="41"/>
      <c r="D36" s="41"/>
      <c r="E36" s="39"/>
      <c r="F36" s="39"/>
      <c r="G36" s="27"/>
      <c r="H36" s="26"/>
      <c r="I36" s="26"/>
      <c r="J36" s="25"/>
    </row>
    <row r="37" spans="1:16" x14ac:dyDescent="0.3">
      <c r="A37" s="192" t="s">
        <v>58</v>
      </c>
      <c r="B37" s="192"/>
      <c r="C37" s="192"/>
      <c r="D37" s="192"/>
      <c r="E37" s="192"/>
      <c r="F37" s="192"/>
      <c r="G37" s="192"/>
      <c r="H37" s="192"/>
      <c r="I37" s="192"/>
      <c r="J37" s="192"/>
      <c r="K37" s="192"/>
    </row>
    <row r="38" spans="1:16" x14ac:dyDescent="0.3">
      <c r="A38" s="192"/>
      <c r="B38" s="192"/>
      <c r="C38" s="192"/>
      <c r="D38" s="192"/>
      <c r="E38" s="192"/>
      <c r="F38" s="192"/>
      <c r="G38" s="192"/>
      <c r="H38" s="192"/>
      <c r="I38" s="192"/>
      <c r="J38" s="192"/>
      <c r="K38" s="192"/>
      <c r="M38" s="2"/>
      <c r="N38" s="2"/>
    </row>
    <row r="39" spans="1:16" x14ac:dyDescent="0.3">
      <c r="M39" s="2"/>
      <c r="N39" s="2"/>
    </row>
    <row r="40" spans="1:16" x14ac:dyDescent="0.3">
      <c r="M40" s="2"/>
      <c r="N40" s="2"/>
    </row>
    <row r="41" spans="1:16" ht="28.8" hidden="1" x14ac:dyDescent="0.3">
      <c r="L41" s="5" t="s">
        <v>17</v>
      </c>
      <c r="M41" s="21" t="s">
        <v>54</v>
      </c>
      <c r="N41" s="21" t="s">
        <v>53</v>
      </c>
      <c r="O41" s="42" t="s">
        <v>34</v>
      </c>
    </row>
    <row r="42" spans="1:16" ht="15.6" hidden="1" x14ac:dyDescent="0.3">
      <c r="K42" s="5" t="s">
        <v>10</v>
      </c>
      <c r="L42" s="8" t="s">
        <v>18</v>
      </c>
      <c r="M42" s="6">
        <v>0</v>
      </c>
      <c r="N42" s="44" t="s">
        <v>18</v>
      </c>
      <c r="O42" s="6" t="s">
        <v>35</v>
      </c>
      <c r="P42" s="10"/>
    </row>
    <row r="43" spans="1:16" hidden="1" x14ac:dyDescent="0.3">
      <c r="K43" s="1" t="str">
        <f>IF(MAESTRO!A1="","",MAESTRO!A1)</f>
        <v>******SUCURSALES</v>
      </c>
      <c r="L43" s="43" t="s">
        <v>19</v>
      </c>
      <c r="M43" s="15">
        <v>1</v>
      </c>
      <c r="N43" s="43" t="s">
        <v>19</v>
      </c>
      <c r="O43" s="6" t="s">
        <v>36</v>
      </c>
    </row>
    <row r="44" spans="1:16" hidden="1" x14ac:dyDescent="0.3">
      <c r="K44" s="1" t="str">
        <f>IF(MAESTRO!A2="","",MAESTRO!A2)</f>
        <v>LA CASA DE LA CAÑA, C.A. (T. ALTERNA)</v>
      </c>
      <c r="M44" s="16">
        <v>2</v>
      </c>
      <c r="N44" s="16"/>
      <c r="O44" s="6" t="s">
        <v>37</v>
      </c>
    </row>
    <row r="45" spans="1:16" hidden="1" x14ac:dyDescent="0.3">
      <c r="K45" s="1" t="str">
        <f>IF(MAESTRO!A3="","",MAESTRO!A3)</f>
        <v>LA CASA DE LA CAÑA, C.A. (T. ANACO)</v>
      </c>
      <c r="M45" s="16">
        <v>3</v>
      </c>
      <c r="N45" s="16"/>
      <c r="O45" s="6" t="s">
        <v>38</v>
      </c>
    </row>
    <row r="46" spans="1:16" hidden="1" x14ac:dyDescent="0.3">
      <c r="K46" s="1" t="str">
        <f>IF(MAESTRO!A4="","",MAESTRO!A4)</f>
        <v>LA CASA DE LA CAÑA, C.A. (T. CUMANÁ)</v>
      </c>
      <c r="L46" s="1"/>
      <c r="M46" s="16">
        <v>4</v>
      </c>
      <c r="N46" s="15"/>
      <c r="O46" s="6" t="s">
        <v>39</v>
      </c>
    </row>
    <row r="47" spans="1:16" hidden="1" x14ac:dyDescent="0.3">
      <c r="K47" s="1" t="str">
        <f>IF(MAESTRO!A5="","",MAESTRO!A5)</f>
        <v>LA CASA DE LA CAÑA, C.A. (T. MATURÍN I)</v>
      </c>
      <c r="L47" s="1"/>
      <c r="M47" s="15">
        <v>5</v>
      </c>
      <c r="N47" s="15"/>
      <c r="O47" s="6" t="s">
        <v>40</v>
      </c>
    </row>
    <row r="48" spans="1:16" hidden="1" x14ac:dyDescent="0.3">
      <c r="K48" s="1" t="str">
        <f>IF(MAESTRO!A6="","",MAESTRO!A6)</f>
        <v>LA CASA DE LA CAÑA, C.A. (T. MATURÍN II)</v>
      </c>
      <c r="L48" s="1"/>
      <c r="M48" s="15">
        <v>6</v>
      </c>
      <c r="N48" s="15"/>
      <c r="O48" s="6" t="s">
        <v>41</v>
      </c>
    </row>
    <row r="49" spans="5:15" hidden="1" x14ac:dyDescent="0.3">
      <c r="K49" s="1" t="str">
        <f>IF(MAESTRO!A7="","",MAESTRO!A7)</f>
        <v>LA CASA DE LA CAÑA, C.A. (T. NVA. BARCELONA)</v>
      </c>
      <c r="L49" s="1"/>
      <c r="M49" s="15">
        <v>7</v>
      </c>
      <c r="N49" s="15"/>
      <c r="O49" s="6" t="s">
        <v>42</v>
      </c>
    </row>
    <row r="50" spans="5:15" hidden="1" x14ac:dyDescent="0.3">
      <c r="K50" s="1" t="str">
        <f>IF(MAESTRO!A8="","",MAESTRO!A8)</f>
        <v>INVERSIONES CAÑANDONGA,C.A (T. CONEJERO)</v>
      </c>
      <c r="L50" s="1"/>
      <c r="M50" s="15">
        <v>8</v>
      </c>
      <c r="N50" s="15"/>
      <c r="O50" s="6" t="s">
        <v>43</v>
      </c>
    </row>
    <row r="51" spans="5:15" hidden="1" x14ac:dyDescent="0.3">
      <c r="E51" s="2"/>
      <c r="F51" s="2"/>
      <c r="G51" s="2"/>
      <c r="K51" s="1" t="str">
        <f>IF(MAESTRO!A9="","",MAESTRO!A9)</f>
        <v>OPERADORA EL MERCADO 2011, C.A. (T. MERCADO)</v>
      </c>
      <c r="L51" s="1"/>
      <c r="M51" s="15">
        <v>9</v>
      </c>
      <c r="N51" s="15"/>
      <c r="O51" s="6" t="s">
        <v>44</v>
      </c>
    </row>
    <row r="52" spans="5:15" hidden="1" x14ac:dyDescent="0.3">
      <c r="E52" s="2"/>
      <c r="F52" s="2"/>
      <c r="G52" s="2"/>
      <c r="K52" s="1" t="str">
        <f>IF(MAESTRO!A10="","",MAESTRO!A10)</f>
        <v>OPERADORA EL PUENTE 2011, C.A. (T. PUENTE REAL)</v>
      </c>
      <c r="L52" s="1"/>
      <c r="M52" s="15">
        <v>10</v>
      </c>
      <c r="N52" s="15"/>
      <c r="O52" s="6" t="s">
        <v>45</v>
      </c>
    </row>
    <row r="53" spans="5:15" hidden="1" x14ac:dyDescent="0.3">
      <c r="E53" s="2"/>
      <c r="F53" s="2"/>
      <c r="G53" s="2"/>
      <c r="K53" s="1" t="str">
        <f>IF(MAESTRO!A11="","",MAESTRO!A11)</f>
        <v>OPERADORA LECHERÍA 2011, C.A. (T. LECHERÍA)</v>
      </c>
      <c r="L53" s="1"/>
      <c r="M53" s="15">
        <v>11</v>
      </c>
      <c r="N53" s="15"/>
      <c r="O53" s="6" t="s">
        <v>46</v>
      </c>
    </row>
    <row r="54" spans="5:15" hidden="1" x14ac:dyDescent="0.3">
      <c r="E54" s="2"/>
      <c r="F54" s="2"/>
      <c r="G54" s="2"/>
      <c r="K54" s="1" t="str">
        <f>IF(MAESTRO!A12="","",MAESTRO!A12)</f>
        <v>OPERADORA PUERTO LA CRUZ 2011, C.A. (T. PUERTO LA CRUZ)</v>
      </c>
      <c r="L54" s="1"/>
      <c r="M54" s="15">
        <v>12</v>
      </c>
      <c r="N54" s="15"/>
      <c r="O54" s="6"/>
    </row>
    <row r="55" spans="5:15" hidden="1" x14ac:dyDescent="0.3">
      <c r="E55" s="2"/>
      <c r="F55" s="2"/>
      <c r="G55" s="2"/>
      <c r="K55" s="1" t="str">
        <f>IF(MAESTRO!A13="","",MAESTRO!A13)</f>
        <v>OPERADORA PUERTO ORDAZ 2013, C.A.(T. PUERTO ORDAZ)</v>
      </c>
      <c r="L55" s="1"/>
      <c r="M55" s="15">
        <v>13</v>
      </c>
      <c r="N55" s="15"/>
      <c r="O55" s="6"/>
    </row>
    <row r="56" spans="5:15" hidden="1" x14ac:dyDescent="0.3">
      <c r="E56" s="2"/>
      <c r="F56" s="2"/>
      <c r="G56" s="2"/>
      <c r="K56" s="1" t="str">
        <f>IF(MAESTRO!A14="","",MAESTRO!A14)</f>
        <v>OPERADORA LAS AMERICAS, C.A</v>
      </c>
      <c r="L56" s="1"/>
      <c r="M56" s="15">
        <v>14</v>
      </c>
      <c r="N56" s="15"/>
      <c r="O56" s="6"/>
    </row>
    <row r="57" spans="5:15" hidden="1" x14ac:dyDescent="0.3">
      <c r="E57" s="2"/>
      <c r="F57" s="2"/>
      <c r="G57" s="2"/>
      <c r="K57" s="1" t="str">
        <f>IF(MAESTRO!A15="","",MAESTRO!A15)</f>
        <v>OPERADORA PLAZA DEL SOL 2015, C.A</v>
      </c>
      <c r="M57" s="15">
        <v>15</v>
      </c>
      <c r="O57" s="6"/>
    </row>
    <row r="58" spans="5:15" hidden="1" x14ac:dyDescent="0.3">
      <c r="E58" s="2"/>
      <c r="F58" s="2"/>
      <c r="G58" s="2"/>
      <c r="K58" s="1" t="str">
        <f>IF(MAESTRO!A16="","",MAESTRO!A16)</f>
        <v>RELIVE, C.A. (T. CHUPARÍN)</v>
      </c>
    </row>
    <row r="59" spans="5:15" hidden="1" x14ac:dyDescent="0.3">
      <c r="K59" s="1" t="str">
        <f>IF(MAESTRO!A17="","",MAESTRO!A17)</f>
        <v>RELIVE, C.A. (T. TERRAZAS)</v>
      </c>
    </row>
    <row r="60" spans="5:15" hidden="1" x14ac:dyDescent="0.3">
      <c r="K60" s="1" t="str">
        <f>IF(MAESTRO!A18="","",MAESTRO!A18)</f>
        <v>RELIVE, C.A. (T. TIGRE II)</v>
      </c>
    </row>
    <row r="61" spans="5:15" hidden="1" x14ac:dyDescent="0.3">
      <c r="K61" s="1" t="str">
        <f>IF(MAESTRO!A19="","",MAESTRO!A19)</f>
        <v>RELIVE, C.A. (T. TIGRE III)</v>
      </c>
    </row>
    <row r="62" spans="5:15" x14ac:dyDescent="0.3">
      <c r="K62" s="1" t="str">
        <f>IF(MAESTRO!A20="","",MAESTRO!A20)</f>
        <v/>
      </c>
    </row>
    <row r="63" spans="5:15" x14ac:dyDescent="0.3">
      <c r="K63" s="1" t="str">
        <f>IF(MAESTRO!A21="","",MAESTRO!A21)</f>
        <v/>
      </c>
    </row>
  </sheetData>
  <sheetProtection selectLockedCells="1"/>
  <dataConsolidate/>
  <mergeCells count="49">
    <mergeCell ref="H24:K24"/>
    <mergeCell ref="B14:C14"/>
    <mergeCell ref="A15:A24"/>
    <mergeCell ref="B15:C24"/>
    <mergeCell ref="D15:D24"/>
    <mergeCell ref="E15:E24"/>
    <mergeCell ref="F15:F24"/>
    <mergeCell ref="J1:K1"/>
    <mergeCell ref="J3:K3"/>
    <mergeCell ref="C1:H3"/>
    <mergeCell ref="A1:B3"/>
    <mergeCell ref="H10:K10"/>
    <mergeCell ref="B10:C10"/>
    <mergeCell ref="B9:C9"/>
    <mergeCell ref="H9:K9"/>
    <mergeCell ref="C5:G5"/>
    <mergeCell ref="I5:J5"/>
    <mergeCell ref="B8:C8"/>
    <mergeCell ref="A7:K7"/>
    <mergeCell ref="H8:K8"/>
    <mergeCell ref="B28:C28"/>
    <mergeCell ref="H28:K28"/>
    <mergeCell ref="B11:C11"/>
    <mergeCell ref="B12:C12"/>
    <mergeCell ref="B13:C13"/>
    <mergeCell ref="H25:K25"/>
    <mergeCell ref="H26:K26"/>
    <mergeCell ref="B27:C27"/>
    <mergeCell ref="H27:K27"/>
    <mergeCell ref="B26:C26"/>
    <mergeCell ref="B25:C25"/>
    <mergeCell ref="H11:K11"/>
    <mergeCell ref="H12:K12"/>
    <mergeCell ref="H13:K13"/>
    <mergeCell ref="H14:K14"/>
    <mergeCell ref="G15:G24"/>
    <mergeCell ref="B29:C29"/>
    <mergeCell ref="H29:K29"/>
    <mergeCell ref="B30:C30"/>
    <mergeCell ref="H30:K30"/>
    <mergeCell ref="A32:F32"/>
    <mergeCell ref="G32:K32"/>
    <mergeCell ref="B31:C31"/>
    <mergeCell ref="H31:K31"/>
    <mergeCell ref="A37:K38"/>
    <mergeCell ref="A34:B34"/>
    <mergeCell ref="C34:D34"/>
    <mergeCell ref="A35:B35"/>
    <mergeCell ref="C35:D35"/>
  </mergeCells>
  <dataValidations count="5">
    <dataValidation type="list" allowBlank="1" showInputMessage="1" showErrorMessage="1" sqref="D9:D14" xr:uid="{00000000-0002-0000-0B00-000000000000}">
      <formula1>$M$41:$M$57</formula1>
    </dataValidation>
    <dataValidation type="list" allowBlank="1" showInputMessage="1" showErrorMessage="1" sqref="D15 E9:F15 E25:F27 E29:F31" xr:uid="{00000000-0002-0000-0B00-000001000000}">
      <formula1>$M$43:$M$57</formula1>
    </dataValidation>
    <dataValidation type="list" allowBlank="1" showInputMessage="1" showErrorMessage="1" sqref="C5:G5" xr:uid="{00000000-0002-0000-0B00-000002000000}">
      <formula1>$Q$9:$Q$27</formula1>
    </dataValidation>
    <dataValidation type="list" allowBlank="1" showInputMessage="1" showErrorMessage="1" sqref="D25:D27 D29:D31" xr:uid="{00000000-0002-0000-0B00-000003000000}">
      <formula1>$M$35:$M$51</formula1>
    </dataValidation>
    <dataValidation type="list" allowBlank="1" showInputMessage="1" showErrorMessage="1" sqref="D28:F28" xr:uid="{00000000-0002-0000-0B00-000004000000}">
      <formula1>$M$33:$M$49</formula1>
    </dataValidation>
  </dataValidations>
  <pageMargins left="0.39370078740157483" right="0.39370078740157483" top="0.59055118110236227" bottom="0.59055118110236227" header="0.31496062992125984" footer="0.31496062992125984"/>
  <pageSetup scale="66" orientation="portrait" r:id="rId1"/>
  <headerFooter>
    <oddFooter>&amp;RPág. &amp;P -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5"/>
  <dimension ref="A1:Q62"/>
  <sheetViews>
    <sheetView view="pageBreakPreview" topLeftCell="A13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33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" style="2" customWidth="1" collapsed="1"/>
    <col min="12" max="12" width="14.44140625" style="2" customWidth="1" collapsed="1"/>
    <col min="13" max="14" width="11.44140625" style="6" customWidth="1" collapsed="1"/>
    <col min="15" max="16" width="11.44140625" style="2" customWidth="1" collapsed="1"/>
    <col min="17" max="17" width="0" style="2" hidden="1" customWidth="1" collapsed="1"/>
    <col min="18" max="16384" width="11.44140625" style="2" collapsed="1"/>
  </cols>
  <sheetData>
    <row r="1" spans="1:17" ht="15" customHeight="1" x14ac:dyDescent="0.3">
      <c r="A1" s="149"/>
      <c r="B1" s="149"/>
      <c r="C1" s="156" t="s">
        <v>16</v>
      </c>
      <c r="D1" s="157"/>
      <c r="E1" s="157"/>
      <c r="F1" s="157"/>
      <c r="G1" s="157"/>
      <c r="H1" s="158"/>
      <c r="I1" s="30" t="s">
        <v>25</v>
      </c>
      <c r="J1" s="210" t="s">
        <v>49</v>
      </c>
      <c r="K1" s="211"/>
    </row>
    <row r="2" spans="1:17" ht="20.2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17" x14ac:dyDescent="0.3">
      <c r="A3" s="149"/>
      <c r="B3" s="149"/>
      <c r="C3" s="162"/>
      <c r="D3" s="163"/>
      <c r="E3" s="163"/>
      <c r="F3" s="163"/>
      <c r="G3" s="163"/>
      <c r="H3" s="164"/>
      <c r="I3" s="30" t="s">
        <v>27</v>
      </c>
      <c r="J3" s="154">
        <v>42286</v>
      </c>
      <c r="K3" s="155"/>
    </row>
    <row r="4" spans="1:17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7" ht="15.75" customHeight="1" x14ac:dyDescent="0.3">
      <c r="A5" s="3"/>
      <c r="B5" s="13" t="s">
        <v>32</v>
      </c>
      <c r="C5" s="150" t="s">
        <v>123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17" ht="15.75" customHeight="1" x14ac:dyDescent="0.3">
      <c r="A6" s="18"/>
      <c r="E6" s="19"/>
      <c r="F6" s="19"/>
      <c r="G6" s="11"/>
    </row>
    <row r="7" spans="1:17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7" ht="28.8" x14ac:dyDescent="0.3">
      <c r="A8" s="48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17" ht="18" customHeight="1" x14ac:dyDescent="0.3">
      <c r="A9" s="29">
        <v>1</v>
      </c>
      <c r="B9" s="124" t="s">
        <v>29</v>
      </c>
      <c r="C9" s="125"/>
      <c r="D9" s="28">
        <v>6</v>
      </c>
      <c r="E9" s="7">
        <v>6</v>
      </c>
      <c r="F9" s="7">
        <v>6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  <c r="Q9" s="2" t="s">
        <v>2</v>
      </c>
    </row>
    <row r="10" spans="1:17" ht="18" customHeight="1" x14ac:dyDescent="0.3">
      <c r="A10" s="29">
        <v>2</v>
      </c>
      <c r="B10" s="124" t="s">
        <v>28</v>
      </c>
      <c r="C10" s="125"/>
      <c r="D10" s="28">
        <v>6</v>
      </c>
      <c r="E10" s="7">
        <v>6</v>
      </c>
      <c r="F10" s="7">
        <v>6</v>
      </c>
      <c r="G10" s="22">
        <f t="shared" ref="G10:G29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Q10" s="2" t="s">
        <v>48</v>
      </c>
    </row>
    <row r="11" spans="1:17" ht="18" customHeight="1" x14ac:dyDescent="0.3">
      <c r="A11" s="29">
        <v>3</v>
      </c>
      <c r="B11" s="124" t="s">
        <v>31</v>
      </c>
      <c r="C11" s="125"/>
      <c r="D11" s="28">
        <v>6</v>
      </c>
      <c r="E11" s="7">
        <v>6</v>
      </c>
      <c r="F11" s="7">
        <v>6</v>
      </c>
      <c r="G11" s="22">
        <f t="shared" si="0"/>
        <v>1</v>
      </c>
      <c r="H11" s="134"/>
      <c r="I11" s="134"/>
      <c r="J11" s="134"/>
      <c r="K11" s="134"/>
      <c r="Q11" s="2" t="s">
        <v>121</v>
      </c>
    </row>
    <row r="12" spans="1:17" ht="18" customHeight="1" x14ac:dyDescent="0.3">
      <c r="A12" s="29">
        <v>4</v>
      </c>
      <c r="B12" s="124" t="s">
        <v>30</v>
      </c>
      <c r="C12" s="125"/>
      <c r="D12" s="28">
        <v>6</v>
      </c>
      <c r="E12" s="7">
        <v>6</v>
      </c>
      <c r="F12" s="7">
        <v>6</v>
      </c>
      <c r="G12" s="22">
        <f t="shared" si="0"/>
        <v>1</v>
      </c>
      <c r="H12" s="134"/>
      <c r="I12" s="134"/>
      <c r="J12" s="134"/>
      <c r="K12" s="134"/>
      <c r="Q12" s="2" t="s">
        <v>13</v>
      </c>
    </row>
    <row r="13" spans="1:17" ht="18" customHeight="1" x14ac:dyDescent="0.3">
      <c r="A13" s="29">
        <v>5</v>
      </c>
      <c r="B13" s="124" t="s">
        <v>22</v>
      </c>
      <c r="C13" s="125"/>
      <c r="D13" s="28">
        <v>6</v>
      </c>
      <c r="E13" s="7">
        <v>6</v>
      </c>
      <c r="F13" s="7">
        <v>6</v>
      </c>
      <c r="G13" s="22">
        <f t="shared" si="0"/>
        <v>1</v>
      </c>
      <c r="H13" s="134"/>
      <c r="I13" s="134"/>
      <c r="J13" s="134"/>
      <c r="K13" s="134"/>
      <c r="Q13" s="2" t="s">
        <v>47</v>
      </c>
    </row>
    <row r="14" spans="1:17" ht="18" customHeight="1" x14ac:dyDescent="0.3">
      <c r="A14" s="29">
        <v>6</v>
      </c>
      <c r="B14" s="126" t="s">
        <v>55</v>
      </c>
      <c r="C14" s="127"/>
      <c r="D14" s="28">
        <v>1</v>
      </c>
      <c r="E14" s="7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Q14" s="2" t="s">
        <v>12</v>
      </c>
    </row>
    <row r="15" spans="1:17" ht="18" customHeight="1" x14ac:dyDescent="0.3">
      <c r="A15" s="117">
        <v>7</v>
      </c>
      <c r="B15" s="135" t="s">
        <v>24</v>
      </c>
      <c r="C15" s="136"/>
      <c r="D15" s="141">
        <v>5</v>
      </c>
      <c r="E15" s="144">
        <v>5</v>
      </c>
      <c r="F15" s="144">
        <v>5</v>
      </c>
      <c r="G15" s="128">
        <f>IF(D15="","",IF(D15=0,"-",IF(F15&gt;D15,"ERROR",IF(E15&gt;D15,"ERROR",IF(E15&lt;D15,0,IF(E15&gt;F15,0,IF(F15=D15,1,0)))))))</f>
        <v>1</v>
      </c>
      <c r="H15" s="51" t="s">
        <v>63</v>
      </c>
      <c r="I15" s="46"/>
      <c r="J15" s="51" t="s">
        <v>62</v>
      </c>
      <c r="K15" s="46"/>
      <c r="Q15" s="2" t="s">
        <v>122</v>
      </c>
    </row>
    <row r="16" spans="1:17" ht="18" customHeight="1" x14ac:dyDescent="0.3">
      <c r="A16" s="118"/>
      <c r="B16" s="137"/>
      <c r="C16" s="138"/>
      <c r="D16" s="142"/>
      <c r="E16" s="145"/>
      <c r="F16" s="145"/>
      <c r="G16" s="129"/>
      <c r="H16" s="51" t="s">
        <v>64</v>
      </c>
      <c r="I16" s="58"/>
      <c r="J16" s="51" t="s">
        <v>62</v>
      </c>
      <c r="K16" s="58"/>
      <c r="M16" s="2"/>
      <c r="N16" s="2"/>
      <c r="Q16" s="2" t="s">
        <v>123</v>
      </c>
    </row>
    <row r="17" spans="1:17" ht="18" customHeight="1" x14ac:dyDescent="0.3">
      <c r="A17" s="118"/>
      <c r="B17" s="137"/>
      <c r="C17" s="138"/>
      <c r="D17" s="142"/>
      <c r="E17" s="145"/>
      <c r="F17" s="145"/>
      <c r="G17" s="129"/>
      <c r="H17" s="51" t="s">
        <v>65</v>
      </c>
      <c r="I17" s="58"/>
      <c r="J17" s="51" t="s">
        <v>62</v>
      </c>
      <c r="K17" s="58"/>
      <c r="M17" s="2"/>
      <c r="N17" s="2"/>
      <c r="Q17" s="2" t="s">
        <v>14</v>
      </c>
    </row>
    <row r="18" spans="1:17" ht="18" customHeight="1" x14ac:dyDescent="0.3">
      <c r="A18" s="118"/>
      <c r="B18" s="137"/>
      <c r="C18" s="138"/>
      <c r="D18" s="142"/>
      <c r="E18" s="145"/>
      <c r="F18" s="145"/>
      <c r="G18" s="129"/>
      <c r="H18" s="51" t="s">
        <v>66</v>
      </c>
      <c r="I18" s="58"/>
      <c r="J18" s="51" t="s">
        <v>62</v>
      </c>
      <c r="K18" s="58"/>
      <c r="M18" s="2"/>
      <c r="N18" s="2"/>
      <c r="Q18" s="2" t="s">
        <v>6</v>
      </c>
    </row>
    <row r="19" spans="1:17" ht="18" customHeight="1" x14ac:dyDescent="0.3">
      <c r="A19" s="118"/>
      <c r="B19" s="137"/>
      <c r="C19" s="138"/>
      <c r="D19" s="142"/>
      <c r="E19" s="145"/>
      <c r="F19" s="145"/>
      <c r="G19" s="129"/>
      <c r="H19" s="51" t="s">
        <v>67</v>
      </c>
      <c r="I19" s="58"/>
      <c r="J19" s="51" t="s">
        <v>62</v>
      </c>
      <c r="K19" s="58"/>
      <c r="M19" s="2"/>
      <c r="N19" s="2"/>
      <c r="Q19" s="2" t="s">
        <v>78</v>
      </c>
    </row>
    <row r="20" spans="1:17" ht="18" customHeight="1" x14ac:dyDescent="0.3">
      <c r="A20" s="118"/>
      <c r="B20" s="137"/>
      <c r="C20" s="138"/>
      <c r="D20" s="142"/>
      <c r="E20" s="145"/>
      <c r="F20" s="145"/>
      <c r="G20" s="129"/>
      <c r="H20" s="51" t="s">
        <v>68</v>
      </c>
      <c r="I20" s="58"/>
      <c r="J20" s="51" t="s">
        <v>62</v>
      </c>
      <c r="K20" s="58"/>
      <c r="M20" s="2"/>
      <c r="N20" s="2"/>
      <c r="Q20" s="2" t="s">
        <v>7</v>
      </c>
    </row>
    <row r="21" spans="1:17" ht="18.75" customHeight="1" x14ac:dyDescent="0.3">
      <c r="A21" s="118"/>
      <c r="B21" s="137"/>
      <c r="C21" s="138"/>
      <c r="D21" s="142"/>
      <c r="E21" s="145"/>
      <c r="F21" s="145"/>
      <c r="G21" s="129"/>
      <c r="H21" s="51" t="s">
        <v>69</v>
      </c>
      <c r="I21" s="45"/>
      <c r="J21" s="51" t="s">
        <v>62</v>
      </c>
      <c r="K21" s="46"/>
      <c r="L21" s="4"/>
      <c r="M21" s="2"/>
      <c r="N21" s="2"/>
      <c r="Q21" s="2" t="s">
        <v>124</v>
      </c>
    </row>
    <row r="22" spans="1:17" ht="18.75" customHeight="1" x14ac:dyDescent="0.3">
      <c r="A22" s="119"/>
      <c r="B22" s="139"/>
      <c r="C22" s="140"/>
      <c r="D22" s="143"/>
      <c r="E22" s="146"/>
      <c r="F22" s="146"/>
      <c r="G22" s="130"/>
      <c r="H22" s="131"/>
      <c r="I22" s="132"/>
      <c r="J22" s="132"/>
      <c r="K22" s="133"/>
      <c r="L22" s="4"/>
      <c r="M22" s="2"/>
      <c r="N22" s="2"/>
      <c r="Q22" s="2" t="s">
        <v>125</v>
      </c>
    </row>
    <row r="23" spans="1:17" ht="18" customHeight="1" x14ac:dyDescent="0.3">
      <c r="A23" s="29">
        <v>8</v>
      </c>
      <c r="B23" s="126" t="s">
        <v>21</v>
      </c>
      <c r="C23" s="127"/>
      <c r="D23" s="28">
        <v>2</v>
      </c>
      <c r="E23" s="7">
        <v>2</v>
      </c>
      <c r="F23" s="7">
        <v>2</v>
      </c>
      <c r="G23" s="22">
        <f t="shared" si="0"/>
        <v>1</v>
      </c>
      <c r="H23" s="134"/>
      <c r="I23" s="134"/>
      <c r="J23" s="134"/>
      <c r="K23" s="134"/>
      <c r="M23" s="2"/>
      <c r="N23" s="2"/>
      <c r="Q23" s="2" t="s">
        <v>126</v>
      </c>
    </row>
    <row r="24" spans="1:17" ht="18" customHeight="1" x14ac:dyDescent="0.3">
      <c r="A24" s="29">
        <v>9</v>
      </c>
      <c r="B24" s="126" t="s">
        <v>20</v>
      </c>
      <c r="C24" s="127"/>
      <c r="D24" s="28">
        <v>2</v>
      </c>
      <c r="E24" s="7">
        <v>2</v>
      </c>
      <c r="F24" s="7">
        <v>2</v>
      </c>
      <c r="G24" s="22">
        <f t="shared" si="0"/>
        <v>1</v>
      </c>
      <c r="H24" s="134"/>
      <c r="I24" s="134"/>
      <c r="J24" s="134"/>
      <c r="K24" s="134"/>
      <c r="M24" s="2"/>
      <c r="N24" s="2"/>
      <c r="Q24" s="2" t="s">
        <v>127</v>
      </c>
    </row>
    <row r="25" spans="1:17" ht="18" customHeight="1" x14ac:dyDescent="0.3">
      <c r="A25" s="29">
        <v>10</v>
      </c>
      <c r="B25" s="124" t="s">
        <v>8</v>
      </c>
      <c r="C25" s="125"/>
      <c r="D25" s="28">
        <v>6</v>
      </c>
      <c r="E25" s="7">
        <v>6</v>
      </c>
      <c r="F25" s="7">
        <v>6</v>
      </c>
      <c r="G25" s="22">
        <f t="shared" si="0"/>
        <v>1</v>
      </c>
      <c r="H25" s="134"/>
      <c r="I25" s="134"/>
      <c r="J25" s="134"/>
      <c r="K25" s="134"/>
      <c r="M25" s="2"/>
      <c r="N25" s="2"/>
      <c r="Q25" s="2" t="s">
        <v>128</v>
      </c>
    </row>
    <row r="26" spans="1:17" ht="18" customHeight="1" x14ac:dyDescent="0.3">
      <c r="A26" s="29">
        <v>11</v>
      </c>
      <c r="B26" s="122" t="s">
        <v>118</v>
      </c>
      <c r="C26" s="123"/>
      <c r="D26" s="28">
        <v>2</v>
      </c>
      <c r="E26" s="28">
        <v>2</v>
      </c>
      <c r="F26" s="28">
        <v>2</v>
      </c>
      <c r="G26" s="22">
        <f t="shared" si="0"/>
        <v>1</v>
      </c>
      <c r="H26" s="175"/>
      <c r="I26" s="176"/>
      <c r="J26" s="176"/>
      <c r="K26" s="177"/>
      <c r="M26" s="2"/>
      <c r="N26" s="2"/>
      <c r="Q26" s="2" t="s">
        <v>129</v>
      </c>
    </row>
    <row r="27" spans="1:17" ht="18" customHeight="1" x14ac:dyDescent="0.3">
      <c r="A27" s="29">
        <v>12</v>
      </c>
      <c r="B27" s="120" t="s">
        <v>60</v>
      </c>
      <c r="C27" s="121"/>
      <c r="D27" s="28">
        <v>1</v>
      </c>
      <c r="E27" s="7">
        <v>1</v>
      </c>
      <c r="F27" s="7">
        <v>1</v>
      </c>
      <c r="G27" s="22">
        <f t="shared" si="0"/>
        <v>1</v>
      </c>
      <c r="H27" s="134"/>
      <c r="I27" s="134"/>
      <c r="J27" s="134"/>
      <c r="K27" s="134"/>
      <c r="Q27" s="2" t="s">
        <v>130</v>
      </c>
    </row>
    <row r="28" spans="1:17" ht="18" customHeight="1" x14ac:dyDescent="0.3">
      <c r="A28" s="29">
        <v>13</v>
      </c>
      <c r="B28" s="195" t="s">
        <v>56</v>
      </c>
      <c r="C28" s="196"/>
      <c r="D28" s="47">
        <v>1</v>
      </c>
      <c r="E28" s="7">
        <v>1</v>
      </c>
      <c r="F28" s="7">
        <v>1</v>
      </c>
      <c r="G28" s="49">
        <f t="shared" si="0"/>
        <v>1</v>
      </c>
      <c r="H28" s="197"/>
      <c r="I28" s="197"/>
      <c r="J28" s="197"/>
      <c r="K28" s="197"/>
    </row>
    <row r="29" spans="1:17" ht="18" customHeight="1" thickBot="1" x14ac:dyDescent="0.35">
      <c r="A29" s="29">
        <v>14</v>
      </c>
      <c r="B29" s="203" t="s">
        <v>70</v>
      </c>
      <c r="C29" s="204"/>
      <c r="D29" s="28">
        <v>5</v>
      </c>
      <c r="E29" s="7">
        <v>5</v>
      </c>
      <c r="F29" s="7">
        <v>5</v>
      </c>
      <c r="G29" s="22">
        <f t="shared" si="0"/>
        <v>1</v>
      </c>
      <c r="H29" s="134"/>
      <c r="I29" s="134"/>
      <c r="J29" s="134"/>
      <c r="K29" s="134"/>
    </row>
    <row r="30" spans="1:17" ht="19.5" customHeight="1" thickBot="1" x14ac:dyDescent="0.35">
      <c r="A30" s="198" t="s">
        <v>57</v>
      </c>
      <c r="B30" s="199"/>
      <c r="C30" s="199"/>
      <c r="D30" s="199"/>
      <c r="E30" s="199"/>
      <c r="F30" s="199"/>
      <c r="G30" s="200">
        <f>IFERROR(AVERAGE(G9:G28),"-")</f>
        <v>1</v>
      </c>
      <c r="H30" s="201"/>
      <c r="I30" s="201"/>
      <c r="J30" s="201"/>
      <c r="K30" s="202"/>
    </row>
    <row r="31" spans="1:17" ht="17.25" customHeight="1" x14ac:dyDescent="0.3">
      <c r="A31" s="34"/>
      <c r="E31" s="17"/>
      <c r="F31" s="35"/>
      <c r="G31" s="36"/>
      <c r="H31" s="25"/>
      <c r="I31" s="37"/>
      <c r="J31" s="23"/>
    </row>
    <row r="32" spans="1:17" ht="28.5" customHeight="1" x14ac:dyDescent="0.3">
      <c r="A32" s="193" t="s">
        <v>59</v>
      </c>
      <c r="B32" s="193"/>
      <c r="C32" s="194" t="s">
        <v>160</v>
      </c>
      <c r="D32" s="194"/>
      <c r="E32" s="38"/>
      <c r="F32" s="38"/>
      <c r="G32" s="24"/>
      <c r="H32" s="25"/>
      <c r="I32" s="26"/>
      <c r="J32" s="25"/>
    </row>
    <row r="33" spans="1:16" x14ac:dyDescent="0.3">
      <c r="A33" s="193" t="s">
        <v>61</v>
      </c>
      <c r="B33" s="193"/>
      <c r="C33" s="184" t="s">
        <v>88</v>
      </c>
      <c r="D33" s="185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92" t="s">
        <v>58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</row>
    <row r="36" spans="1:16" x14ac:dyDescent="0.3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17</v>
      </c>
      <c r="M39" s="21" t="s">
        <v>54</v>
      </c>
      <c r="N39" s="21" t="s">
        <v>53</v>
      </c>
      <c r="O39" s="42" t="s">
        <v>34</v>
      </c>
    </row>
    <row r="40" spans="1:16" ht="15.6" hidden="1" x14ac:dyDescent="0.3">
      <c r="K40" s="5" t="s">
        <v>10</v>
      </c>
      <c r="L40" s="8" t="s">
        <v>18</v>
      </c>
      <c r="M40" s="6">
        <v>0</v>
      </c>
      <c r="N40" s="44" t="s">
        <v>18</v>
      </c>
      <c r="O40" s="6" t="s">
        <v>35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19</v>
      </c>
      <c r="M41" s="15">
        <v>1</v>
      </c>
      <c r="N41" s="43" t="s">
        <v>19</v>
      </c>
      <c r="O41" s="6" t="s">
        <v>36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37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38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39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40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41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42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43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44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45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46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hidden="1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  <row r="62" spans="5:15" x14ac:dyDescent="0.3">
      <c r="K62" s="1" t="str">
        <f>IF(MAESTRO!A22="","",MAESTRO!A22)</f>
        <v/>
      </c>
    </row>
  </sheetData>
  <sheetProtection selectLockedCells="1"/>
  <dataConsolidate/>
  <mergeCells count="49">
    <mergeCell ref="H22:K22"/>
    <mergeCell ref="B14:C14"/>
    <mergeCell ref="A15:A22"/>
    <mergeCell ref="B15:C22"/>
    <mergeCell ref="D15:D22"/>
    <mergeCell ref="E15:E22"/>
    <mergeCell ref="F15:F22"/>
    <mergeCell ref="J1:K1"/>
    <mergeCell ref="J3:K3"/>
    <mergeCell ref="C1:H3"/>
    <mergeCell ref="A1:B3"/>
    <mergeCell ref="H10:K10"/>
    <mergeCell ref="B10:C10"/>
    <mergeCell ref="B9:C9"/>
    <mergeCell ref="H9:K9"/>
    <mergeCell ref="C5:G5"/>
    <mergeCell ref="I5:J5"/>
    <mergeCell ref="B8:C8"/>
    <mergeCell ref="A7:K7"/>
    <mergeCell ref="H8:K8"/>
    <mergeCell ref="B26:C26"/>
    <mergeCell ref="H26:K26"/>
    <mergeCell ref="B11:C11"/>
    <mergeCell ref="B12:C12"/>
    <mergeCell ref="B13:C13"/>
    <mergeCell ref="H23:K23"/>
    <mergeCell ref="H24:K24"/>
    <mergeCell ref="B25:C25"/>
    <mergeCell ref="H25:K25"/>
    <mergeCell ref="B24:C24"/>
    <mergeCell ref="B23:C23"/>
    <mergeCell ref="H11:K11"/>
    <mergeCell ref="H12:K12"/>
    <mergeCell ref="H13:K13"/>
    <mergeCell ref="H14:K14"/>
    <mergeCell ref="G15:G22"/>
    <mergeCell ref="B27:C27"/>
    <mergeCell ref="H27:K27"/>
    <mergeCell ref="B28:C28"/>
    <mergeCell ref="H28:K28"/>
    <mergeCell ref="A30:F30"/>
    <mergeCell ref="G30:K30"/>
    <mergeCell ref="B29:C29"/>
    <mergeCell ref="H29:K29"/>
    <mergeCell ref="A35:K36"/>
    <mergeCell ref="A32:B32"/>
    <mergeCell ref="C32:D32"/>
    <mergeCell ref="A33:B33"/>
    <mergeCell ref="C33:D33"/>
  </mergeCells>
  <dataValidations count="4">
    <dataValidation type="list" allowBlank="1" showInputMessage="1" showErrorMessage="1" sqref="D9" xr:uid="{00000000-0002-0000-0C00-000000000000}">
      <formula1>$M$33:$M$48</formula1>
    </dataValidation>
    <dataValidation type="list" allowBlank="1" showInputMessage="1" showErrorMessage="1" sqref="D10:D14 D23:D25 D27:D29 D26:F26" xr:uid="{00000000-0002-0000-0C00-000001000000}">
      <formula1>$M$33:$M$49</formula1>
    </dataValidation>
    <dataValidation type="list" allowBlank="1" showInputMessage="1" showErrorMessage="1" sqref="D15 E9:F15 E23:F25 E27:F29" xr:uid="{00000000-0002-0000-0C00-000002000000}">
      <formula1>$M$41:$M$55</formula1>
    </dataValidation>
    <dataValidation type="list" allowBlank="1" showInputMessage="1" showErrorMessage="1" sqref="C5:G5" xr:uid="{00000000-0002-0000-0C00-000003000000}">
      <formula1>$Q$9:$Q$27</formula1>
    </dataValidation>
  </dataValidations>
  <pageMargins left="0.39370078740157483" right="0.39370078740157483" top="0.59055118110236227" bottom="0.59055118110236227" header="0.31496062992125984" footer="0.31496062992125984"/>
  <pageSetup scale="66" orientation="portrait" r:id="rId1"/>
  <headerFooter>
    <oddFooter>&amp;RPág. &amp;P -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6"/>
  <dimension ref="A1:Q61"/>
  <sheetViews>
    <sheetView view="pageBreakPreview" topLeftCell="A13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14.33203125" style="2" customWidth="1" collapsed="1"/>
    <col min="3" max="3" width="33.1093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3.33203125" style="2" customWidth="1" collapsed="1"/>
    <col min="12" max="12" width="14.44140625" style="2" customWidth="1" collapsed="1"/>
    <col min="13" max="14" width="11.44140625" style="6" customWidth="1" collapsed="1"/>
    <col min="15" max="16" width="11.44140625" style="2" customWidth="1" collapsed="1"/>
    <col min="17" max="17" width="0" style="2" hidden="1" customWidth="1" collapsed="1"/>
    <col min="18" max="16384" width="11.44140625" style="2" collapsed="1"/>
  </cols>
  <sheetData>
    <row r="1" spans="1:17" ht="15" customHeight="1" x14ac:dyDescent="0.3">
      <c r="A1" s="149"/>
      <c r="B1" s="149"/>
      <c r="C1" s="156" t="s">
        <v>16</v>
      </c>
      <c r="D1" s="157"/>
      <c r="E1" s="157"/>
      <c r="F1" s="157"/>
      <c r="G1" s="157"/>
      <c r="H1" s="158"/>
      <c r="I1" s="30" t="s">
        <v>25</v>
      </c>
      <c r="J1" s="210" t="s">
        <v>49</v>
      </c>
      <c r="K1" s="211"/>
    </row>
    <row r="2" spans="1:17" ht="20.2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17" x14ac:dyDescent="0.3">
      <c r="A3" s="149"/>
      <c r="B3" s="149"/>
      <c r="C3" s="162"/>
      <c r="D3" s="163"/>
      <c r="E3" s="163"/>
      <c r="F3" s="163"/>
      <c r="G3" s="163"/>
      <c r="H3" s="164"/>
      <c r="I3" s="30" t="s">
        <v>27</v>
      </c>
      <c r="J3" s="154">
        <v>42286</v>
      </c>
      <c r="K3" s="155"/>
    </row>
    <row r="4" spans="1:17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7" ht="15.75" customHeight="1" x14ac:dyDescent="0.3">
      <c r="A5" s="3"/>
      <c r="B5" s="13" t="s">
        <v>32</v>
      </c>
      <c r="C5" s="150" t="s">
        <v>124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17" ht="15.75" customHeight="1" x14ac:dyDescent="0.3">
      <c r="A6" s="18"/>
      <c r="E6" s="19"/>
      <c r="F6" s="19"/>
      <c r="G6" s="11"/>
    </row>
    <row r="7" spans="1:17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7" ht="28.8" x14ac:dyDescent="0.3">
      <c r="A8" s="48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17" ht="18" customHeight="1" x14ac:dyDescent="0.3">
      <c r="A9" s="29">
        <v>1</v>
      </c>
      <c r="B9" s="124" t="s">
        <v>29</v>
      </c>
      <c r="C9" s="125"/>
      <c r="D9" s="28">
        <v>6</v>
      </c>
      <c r="E9" s="7">
        <v>6</v>
      </c>
      <c r="F9" s="7">
        <v>6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  <c r="Q9" s="2" t="s">
        <v>2</v>
      </c>
    </row>
    <row r="10" spans="1:17" ht="18" customHeight="1" x14ac:dyDescent="0.3">
      <c r="A10" s="29">
        <v>2</v>
      </c>
      <c r="B10" s="124" t="s">
        <v>28</v>
      </c>
      <c r="C10" s="125"/>
      <c r="D10" s="28">
        <v>6</v>
      </c>
      <c r="E10" s="7">
        <v>6</v>
      </c>
      <c r="F10" s="7">
        <v>6</v>
      </c>
      <c r="G10" s="22">
        <f t="shared" ref="G10:G29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Q10" s="2" t="s">
        <v>48</v>
      </c>
    </row>
    <row r="11" spans="1:17" ht="18" customHeight="1" x14ac:dyDescent="0.3">
      <c r="A11" s="29">
        <v>3</v>
      </c>
      <c r="B11" s="124" t="s">
        <v>31</v>
      </c>
      <c r="C11" s="125"/>
      <c r="D11" s="28">
        <v>6</v>
      </c>
      <c r="E11" s="7">
        <v>6</v>
      </c>
      <c r="F11" s="7">
        <v>6</v>
      </c>
      <c r="G11" s="22">
        <f t="shared" si="0"/>
        <v>1</v>
      </c>
      <c r="H11" s="134"/>
      <c r="I11" s="134"/>
      <c r="J11" s="134"/>
      <c r="K11" s="134"/>
      <c r="Q11" s="2" t="s">
        <v>121</v>
      </c>
    </row>
    <row r="12" spans="1:17" ht="18" customHeight="1" x14ac:dyDescent="0.3">
      <c r="A12" s="29">
        <v>4</v>
      </c>
      <c r="B12" s="124" t="s">
        <v>30</v>
      </c>
      <c r="C12" s="125"/>
      <c r="D12" s="28">
        <v>6</v>
      </c>
      <c r="E12" s="7">
        <v>6</v>
      </c>
      <c r="F12" s="7">
        <v>6</v>
      </c>
      <c r="G12" s="22">
        <f t="shared" si="0"/>
        <v>1</v>
      </c>
      <c r="H12" s="134"/>
      <c r="I12" s="134"/>
      <c r="J12" s="134"/>
      <c r="K12" s="134"/>
      <c r="Q12" s="2" t="s">
        <v>13</v>
      </c>
    </row>
    <row r="13" spans="1:17" ht="18" customHeight="1" x14ac:dyDescent="0.3">
      <c r="A13" s="29">
        <v>5</v>
      </c>
      <c r="B13" s="124" t="s">
        <v>22</v>
      </c>
      <c r="C13" s="125"/>
      <c r="D13" s="28">
        <v>6</v>
      </c>
      <c r="E13" s="7">
        <v>6</v>
      </c>
      <c r="F13" s="7">
        <v>6</v>
      </c>
      <c r="G13" s="22">
        <f t="shared" si="0"/>
        <v>1</v>
      </c>
      <c r="H13" s="134"/>
      <c r="I13" s="134"/>
      <c r="J13" s="134"/>
      <c r="K13" s="134"/>
      <c r="Q13" s="2" t="s">
        <v>47</v>
      </c>
    </row>
    <row r="14" spans="1:17" ht="18" customHeight="1" x14ac:dyDescent="0.3">
      <c r="A14" s="29">
        <v>6</v>
      </c>
      <c r="B14" s="126" t="s">
        <v>55</v>
      </c>
      <c r="C14" s="127"/>
      <c r="D14" s="28">
        <v>1</v>
      </c>
      <c r="E14" s="7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Q14" s="2" t="s">
        <v>12</v>
      </c>
    </row>
    <row r="15" spans="1:17" ht="18" customHeight="1" x14ac:dyDescent="0.3">
      <c r="A15" s="117">
        <v>7</v>
      </c>
      <c r="B15" s="135" t="s">
        <v>24</v>
      </c>
      <c r="C15" s="136"/>
      <c r="D15" s="141">
        <v>5</v>
      </c>
      <c r="E15" s="144">
        <v>5</v>
      </c>
      <c r="F15" s="144">
        <v>4</v>
      </c>
      <c r="G15" s="128">
        <f>IF(D15="","",IF(D15=0,"-",IF(F15&gt;D15,"ERROR",IF(E15&gt;D15,"ERROR",IF(E15&lt;D15,0,IF(E15&gt;F15,0,IF(F15=D15,1,0)))))))</f>
        <v>0</v>
      </c>
      <c r="H15" s="51" t="s">
        <v>63</v>
      </c>
      <c r="I15" s="65"/>
      <c r="J15" s="51" t="s">
        <v>62</v>
      </c>
      <c r="K15" s="46"/>
      <c r="Q15" s="2" t="s">
        <v>122</v>
      </c>
    </row>
    <row r="16" spans="1:17" ht="18" customHeight="1" x14ac:dyDescent="0.3">
      <c r="A16" s="118"/>
      <c r="B16" s="137"/>
      <c r="C16" s="138"/>
      <c r="D16" s="142"/>
      <c r="E16" s="145"/>
      <c r="F16" s="145"/>
      <c r="G16" s="129"/>
      <c r="H16" s="51" t="s">
        <v>64</v>
      </c>
      <c r="I16" s="62"/>
      <c r="J16" s="51" t="s">
        <v>62</v>
      </c>
      <c r="K16" s="46"/>
      <c r="M16" s="2"/>
      <c r="N16" s="2"/>
      <c r="Q16" s="2" t="s">
        <v>123</v>
      </c>
    </row>
    <row r="17" spans="1:17" ht="18" customHeight="1" x14ac:dyDescent="0.3">
      <c r="A17" s="118"/>
      <c r="B17" s="137"/>
      <c r="C17" s="138"/>
      <c r="D17" s="142"/>
      <c r="E17" s="145"/>
      <c r="F17" s="145"/>
      <c r="G17" s="129"/>
      <c r="H17" s="51" t="s">
        <v>65</v>
      </c>
      <c r="I17" s="62"/>
      <c r="J17" s="51" t="s">
        <v>62</v>
      </c>
      <c r="K17" s="46"/>
      <c r="M17" s="2"/>
      <c r="N17" s="2"/>
      <c r="Q17" s="2" t="s">
        <v>14</v>
      </c>
    </row>
    <row r="18" spans="1:17" ht="18" customHeight="1" x14ac:dyDescent="0.3">
      <c r="A18" s="118"/>
      <c r="B18" s="137"/>
      <c r="C18" s="138"/>
      <c r="D18" s="142"/>
      <c r="E18" s="145"/>
      <c r="F18" s="145"/>
      <c r="G18" s="129"/>
      <c r="H18" s="51" t="s">
        <v>66</v>
      </c>
      <c r="I18" s="73"/>
      <c r="J18" s="51" t="s">
        <v>62</v>
      </c>
      <c r="K18" s="46"/>
      <c r="M18" s="2"/>
      <c r="N18" s="2"/>
      <c r="Q18" s="2" t="s">
        <v>6</v>
      </c>
    </row>
    <row r="19" spans="1:17" ht="18" customHeight="1" x14ac:dyDescent="0.3">
      <c r="A19" s="118"/>
      <c r="B19" s="137"/>
      <c r="C19" s="138"/>
      <c r="D19" s="142"/>
      <c r="E19" s="145"/>
      <c r="F19" s="145"/>
      <c r="G19" s="129"/>
      <c r="H19" s="51" t="s">
        <v>67</v>
      </c>
      <c r="I19" s="74"/>
      <c r="J19" s="51" t="s">
        <v>62</v>
      </c>
      <c r="K19" s="46"/>
      <c r="M19" s="2"/>
      <c r="N19" s="2"/>
      <c r="Q19" s="2" t="s">
        <v>78</v>
      </c>
    </row>
    <row r="20" spans="1:17" ht="18" customHeight="1" x14ac:dyDescent="0.3">
      <c r="A20" s="118"/>
      <c r="B20" s="137"/>
      <c r="C20" s="138"/>
      <c r="D20" s="142"/>
      <c r="E20" s="145"/>
      <c r="F20" s="145"/>
      <c r="G20" s="129"/>
      <c r="H20" s="51" t="s">
        <v>68</v>
      </c>
      <c r="I20" s="62"/>
      <c r="J20" s="51" t="s">
        <v>62</v>
      </c>
      <c r="K20" s="46"/>
      <c r="M20" s="2"/>
      <c r="N20" s="2"/>
      <c r="Q20" s="2" t="s">
        <v>7</v>
      </c>
    </row>
    <row r="21" spans="1:17" ht="18.75" customHeight="1" x14ac:dyDescent="0.3">
      <c r="A21" s="118"/>
      <c r="B21" s="137"/>
      <c r="C21" s="138"/>
      <c r="D21" s="142"/>
      <c r="E21" s="145"/>
      <c r="F21" s="145"/>
      <c r="G21" s="129"/>
      <c r="H21" s="51" t="s">
        <v>69</v>
      </c>
      <c r="I21" s="62"/>
      <c r="J21" s="51" t="s">
        <v>62</v>
      </c>
      <c r="K21" s="46"/>
      <c r="L21" s="4"/>
      <c r="M21" s="2"/>
      <c r="N21" s="2"/>
      <c r="Q21" s="2" t="s">
        <v>124</v>
      </c>
    </row>
    <row r="22" spans="1:17" ht="18.75" customHeight="1" x14ac:dyDescent="0.3">
      <c r="A22" s="119"/>
      <c r="B22" s="139"/>
      <c r="C22" s="140"/>
      <c r="D22" s="143"/>
      <c r="E22" s="146"/>
      <c r="F22" s="146"/>
      <c r="G22" s="130"/>
      <c r="H22" s="131"/>
      <c r="I22" s="132"/>
      <c r="J22" s="132"/>
      <c r="K22" s="133"/>
      <c r="L22" s="4"/>
      <c r="M22" s="2"/>
      <c r="N22" s="2"/>
      <c r="Q22" s="2" t="s">
        <v>125</v>
      </c>
    </row>
    <row r="23" spans="1:17" ht="18" customHeight="1" x14ac:dyDescent="0.3">
      <c r="A23" s="29">
        <v>8</v>
      </c>
      <c r="B23" s="126" t="s">
        <v>21</v>
      </c>
      <c r="C23" s="127"/>
      <c r="D23" s="28">
        <v>1</v>
      </c>
      <c r="E23" s="7">
        <v>1</v>
      </c>
      <c r="F23" s="7">
        <v>1</v>
      </c>
      <c r="G23" s="22">
        <f t="shared" si="0"/>
        <v>1</v>
      </c>
      <c r="H23" s="134"/>
      <c r="I23" s="134"/>
      <c r="J23" s="134"/>
      <c r="K23" s="134"/>
      <c r="M23" s="2"/>
      <c r="N23" s="2"/>
      <c r="Q23" s="2" t="s">
        <v>126</v>
      </c>
    </row>
    <row r="24" spans="1:17" ht="18" customHeight="1" x14ac:dyDescent="0.3">
      <c r="A24" s="29">
        <v>9</v>
      </c>
      <c r="B24" s="126" t="s">
        <v>20</v>
      </c>
      <c r="C24" s="127"/>
      <c r="D24" s="28">
        <v>2</v>
      </c>
      <c r="E24" s="7">
        <v>2</v>
      </c>
      <c r="F24" s="7">
        <v>2</v>
      </c>
      <c r="G24" s="22">
        <f t="shared" si="0"/>
        <v>1</v>
      </c>
      <c r="H24" s="134"/>
      <c r="I24" s="134"/>
      <c r="J24" s="134"/>
      <c r="K24" s="134"/>
      <c r="M24" s="2"/>
      <c r="N24" s="2"/>
      <c r="Q24" s="2" t="s">
        <v>127</v>
      </c>
    </row>
    <row r="25" spans="1:17" ht="18" customHeight="1" x14ac:dyDescent="0.3">
      <c r="A25" s="29">
        <v>10</v>
      </c>
      <c r="B25" s="124" t="s">
        <v>8</v>
      </c>
      <c r="C25" s="125"/>
      <c r="D25" s="28">
        <v>6</v>
      </c>
      <c r="E25" s="7">
        <v>6</v>
      </c>
      <c r="F25" s="7">
        <v>6</v>
      </c>
      <c r="G25" s="22">
        <f t="shared" si="0"/>
        <v>1</v>
      </c>
      <c r="H25" s="134"/>
      <c r="I25" s="134"/>
      <c r="J25" s="134"/>
      <c r="K25" s="134"/>
      <c r="M25" s="2"/>
      <c r="N25" s="2"/>
      <c r="Q25" s="2" t="s">
        <v>128</v>
      </c>
    </row>
    <row r="26" spans="1:17" ht="18" customHeight="1" x14ac:dyDescent="0.3">
      <c r="A26" s="29">
        <v>11</v>
      </c>
      <c r="B26" s="122" t="s">
        <v>132</v>
      </c>
      <c r="C26" s="123"/>
      <c r="D26" s="28">
        <v>2</v>
      </c>
      <c r="E26" s="28">
        <v>2</v>
      </c>
      <c r="F26" s="28">
        <v>2</v>
      </c>
      <c r="G26" s="22">
        <f t="shared" si="0"/>
        <v>1</v>
      </c>
      <c r="H26" s="175"/>
      <c r="I26" s="176"/>
      <c r="J26" s="176"/>
      <c r="K26" s="177"/>
      <c r="M26" s="2"/>
      <c r="N26" s="2"/>
      <c r="Q26" s="2" t="s">
        <v>129</v>
      </c>
    </row>
    <row r="27" spans="1:17" ht="18" customHeight="1" x14ac:dyDescent="0.3">
      <c r="A27" s="29">
        <v>12</v>
      </c>
      <c r="B27" s="120" t="s">
        <v>60</v>
      </c>
      <c r="C27" s="121"/>
      <c r="D27" s="28">
        <v>1</v>
      </c>
      <c r="E27" s="7">
        <v>1</v>
      </c>
      <c r="F27" s="7">
        <v>1</v>
      </c>
      <c r="G27" s="22">
        <f t="shared" si="0"/>
        <v>1</v>
      </c>
      <c r="H27" s="134"/>
      <c r="I27" s="134"/>
      <c r="J27" s="134"/>
      <c r="K27" s="134"/>
      <c r="Q27" s="2" t="s">
        <v>130</v>
      </c>
    </row>
    <row r="28" spans="1:17" ht="18" customHeight="1" x14ac:dyDescent="0.3">
      <c r="A28" s="29">
        <v>13</v>
      </c>
      <c r="B28" s="195" t="s">
        <v>56</v>
      </c>
      <c r="C28" s="196"/>
      <c r="D28" s="47">
        <v>1</v>
      </c>
      <c r="E28" s="7">
        <v>1</v>
      </c>
      <c r="F28" s="7">
        <v>1</v>
      </c>
      <c r="G28" s="49">
        <f t="shared" si="0"/>
        <v>1</v>
      </c>
      <c r="H28" s="197"/>
      <c r="I28" s="197"/>
      <c r="J28" s="197"/>
      <c r="K28" s="197"/>
    </row>
    <row r="29" spans="1:17" ht="18" customHeight="1" thickBot="1" x14ac:dyDescent="0.35">
      <c r="A29" s="29">
        <v>14</v>
      </c>
      <c r="B29" s="203" t="s">
        <v>70</v>
      </c>
      <c r="C29" s="204"/>
      <c r="D29" s="28">
        <v>5</v>
      </c>
      <c r="E29" s="7">
        <v>5</v>
      </c>
      <c r="F29" s="7">
        <v>5</v>
      </c>
      <c r="G29" s="22">
        <f t="shared" si="0"/>
        <v>1</v>
      </c>
      <c r="H29" s="134"/>
      <c r="I29" s="134"/>
      <c r="J29" s="134"/>
      <c r="K29" s="134"/>
    </row>
    <row r="30" spans="1:17" ht="19.5" customHeight="1" thickBot="1" x14ac:dyDescent="0.35">
      <c r="A30" s="198" t="s">
        <v>57</v>
      </c>
      <c r="B30" s="199"/>
      <c r="C30" s="199"/>
      <c r="D30" s="199"/>
      <c r="E30" s="199"/>
      <c r="F30" s="199"/>
      <c r="G30" s="200">
        <f>IFERROR(AVERAGE(G9:G28),"-")</f>
        <v>0.92307692307692313</v>
      </c>
      <c r="H30" s="201"/>
      <c r="I30" s="201"/>
      <c r="J30" s="201"/>
      <c r="K30" s="202"/>
    </row>
    <row r="31" spans="1:17" ht="17.25" customHeight="1" x14ac:dyDescent="0.3">
      <c r="A31" s="34"/>
      <c r="E31" s="17"/>
      <c r="F31" s="35"/>
      <c r="G31" s="36"/>
      <c r="H31" s="25"/>
      <c r="I31" s="37"/>
      <c r="J31" s="23"/>
    </row>
    <row r="32" spans="1:17" ht="28.5" customHeight="1" x14ac:dyDescent="0.3">
      <c r="A32" s="193" t="s">
        <v>59</v>
      </c>
      <c r="B32" s="193"/>
      <c r="C32" s="194" t="s">
        <v>93</v>
      </c>
      <c r="D32" s="194"/>
      <c r="E32" s="38"/>
      <c r="F32" s="38"/>
      <c r="G32" s="24"/>
      <c r="H32" s="25"/>
      <c r="I32" s="26"/>
      <c r="J32" s="25"/>
    </row>
    <row r="33" spans="1:16" x14ac:dyDescent="0.3">
      <c r="A33" s="193" t="s">
        <v>61</v>
      </c>
      <c r="B33" s="193"/>
      <c r="C33" s="184" t="s">
        <v>88</v>
      </c>
      <c r="D33" s="185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92" t="s">
        <v>58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</row>
    <row r="36" spans="1:16" x14ac:dyDescent="0.3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17</v>
      </c>
      <c r="M39" s="21" t="s">
        <v>54</v>
      </c>
      <c r="N39" s="21" t="s">
        <v>53</v>
      </c>
      <c r="O39" s="42" t="s">
        <v>34</v>
      </c>
    </row>
    <row r="40" spans="1:16" ht="15.6" hidden="1" x14ac:dyDescent="0.3">
      <c r="K40" s="5" t="s">
        <v>10</v>
      </c>
      <c r="L40" s="8" t="s">
        <v>18</v>
      </c>
      <c r="M40" s="6">
        <v>0</v>
      </c>
      <c r="N40" s="44" t="s">
        <v>18</v>
      </c>
      <c r="O40" s="6" t="s">
        <v>35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19</v>
      </c>
      <c r="M41" s="15">
        <v>1</v>
      </c>
      <c r="N41" s="43" t="s">
        <v>19</v>
      </c>
      <c r="O41" s="6" t="s">
        <v>36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37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38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39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40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41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42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43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44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45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46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</sheetData>
  <dataConsolidate/>
  <mergeCells count="49">
    <mergeCell ref="H22:K22"/>
    <mergeCell ref="B14:C14"/>
    <mergeCell ref="A15:A22"/>
    <mergeCell ref="B15:C22"/>
    <mergeCell ref="D15:D22"/>
    <mergeCell ref="E15:E22"/>
    <mergeCell ref="F15:F22"/>
    <mergeCell ref="J3:K3"/>
    <mergeCell ref="J1:K1"/>
    <mergeCell ref="C1:H3"/>
    <mergeCell ref="A1:B3"/>
    <mergeCell ref="H10:K10"/>
    <mergeCell ref="B10:C10"/>
    <mergeCell ref="B9:C9"/>
    <mergeCell ref="H9:K9"/>
    <mergeCell ref="C5:G5"/>
    <mergeCell ref="I5:J5"/>
    <mergeCell ref="B8:C8"/>
    <mergeCell ref="A7:K7"/>
    <mergeCell ref="H8:K8"/>
    <mergeCell ref="B26:C26"/>
    <mergeCell ref="H26:K26"/>
    <mergeCell ref="B11:C11"/>
    <mergeCell ref="B12:C12"/>
    <mergeCell ref="B13:C13"/>
    <mergeCell ref="H23:K23"/>
    <mergeCell ref="H24:K24"/>
    <mergeCell ref="B25:C25"/>
    <mergeCell ref="H25:K25"/>
    <mergeCell ref="B24:C24"/>
    <mergeCell ref="B23:C23"/>
    <mergeCell ref="H11:K11"/>
    <mergeCell ref="H12:K12"/>
    <mergeCell ref="H13:K13"/>
    <mergeCell ref="H14:K14"/>
    <mergeCell ref="G15:G22"/>
    <mergeCell ref="B27:C27"/>
    <mergeCell ref="H27:K27"/>
    <mergeCell ref="B28:C28"/>
    <mergeCell ref="H28:K28"/>
    <mergeCell ref="A30:F30"/>
    <mergeCell ref="G30:K30"/>
    <mergeCell ref="B29:C29"/>
    <mergeCell ref="H29:K29"/>
    <mergeCell ref="A35:K36"/>
    <mergeCell ref="A32:B32"/>
    <mergeCell ref="C32:D32"/>
    <mergeCell ref="A33:B33"/>
    <mergeCell ref="C33:D33"/>
  </mergeCells>
  <dataValidations count="4">
    <dataValidation type="list" allowBlank="1" showInputMessage="1" showErrorMessage="1" sqref="D10:D14 D23:D25 D27:D29 D26:F26" xr:uid="{00000000-0002-0000-0D00-000000000000}">
      <formula1>$M$33:$M$49</formula1>
    </dataValidation>
    <dataValidation type="list" allowBlank="1" showInputMessage="1" showErrorMessage="1" sqref="D9" xr:uid="{00000000-0002-0000-0D00-000001000000}">
      <formula1>$M$33:$M$48</formula1>
    </dataValidation>
    <dataValidation type="list" allowBlank="1" showInputMessage="1" showErrorMessage="1" sqref="D15 E9:F15 E23:F25 E27:F29" xr:uid="{00000000-0002-0000-0D00-000002000000}">
      <formula1>$M$41:$M$55</formula1>
    </dataValidation>
    <dataValidation type="list" allowBlank="1" showInputMessage="1" showErrorMessage="1" sqref="C5:G5" xr:uid="{00000000-0002-0000-0D00-000003000000}">
      <formula1>$Q$9:$Q$27</formula1>
    </dataValidation>
  </dataValidations>
  <pageMargins left="0.39370078740157483" right="0.39370078740157483" top="0.59055118110236227" bottom="0.59055118110236227" header="0.31496062992125984" footer="0.31496062992125984"/>
  <pageSetup scale="63" orientation="portrait" r:id="rId1"/>
  <headerFooter>
    <oddFooter>&amp;RPág. &amp;P -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9"/>
  <dimension ref="A1:Q61"/>
  <sheetViews>
    <sheetView view="pageBreakPreview" topLeftCell="A10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15" style="2" customWidth="1" collapsed="1"/>
    <col min="3" max="3" width="24.1093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12.33203125" style="2" customWidth="1" collapsed="1"/>
    <col min="9" max="9" width="13" style="2" customWidth="1" collapsed="1"/>
    <col min="10" max="10" width="16.6640625" style="2" customWidth="1" collapsed="1"/>
    <col min="11" max="11" width="12.5546875" style="2" customWidth="1" collapsed="1"/>
    <col min="12" max="12" width="14.44140625" style="2" customWidth="1" collapsed="1"/>
    <col min="13" max="14" width="11.44140625" style="6" customWidth="1" collapsed="1"/>
    <col min="15" max="16" width="11.44140625" style="2" customWidth="1" collapsed="1"/>
    <col min="17" max="17" width="0" style="2" hidden="1" customWidth="1" collapsed="1"/>
    <col min="18" max="16384" width="11.44140625" style="2" collapsed="1"/>
  </cols>
  <sheetData>
    <row r="1" spans="1:17" ht="15" customHeight="1" x14ac:dyDescent="0.3">
      <c r="A1" s="149"/>
      <c r="B1" s="149"/>
      <c r="C1" s="156" t="s">
        <v>16</v>
      </c>
      <c r="D1" s="157"/>
      <c r="E1" s="157"/>
      <c r="F1" s="157"/>
      <c r="G1" s="157"/>
      <c r="H1" s="158"/>
      <c r="I1" s="30" t="s">
        <v>25</v>
      </c>
      <c r="J1" s="210" t="s">
        <v>49</v>
      </c>
      <c r="K1" s="211"/>
    </row>
    <row r="2" spans="1:17" ht="18.7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17" x14ac:dyDescent="0.3">
      <c r="A3" s="149"/>
      <c r="B3" s="149"/>
      <c r="C3" s="162"/>
      <c r="D3" s="163"/>
      <c r="E3" s="163"/>
      <c r="F3" s="163"/>
      <c r="G3" s="163"/>
      <c r="H3" s="164"/>
      <c r="I3" s="30" t="s">
        <v>27</v>
      </c>
      <c r="J3" s="154">
        <v>42286</v>
      </c>
      <c r="K3" s="155"/>
    </row>
    <row r="4" spans="1:17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7" x14ac:dyDescent="0.3">
      <c r="A5" s="3"/>
      <c r="B5" s="13" t="s">
        <v>32</v>
      </c>
      <c r="C5" s="150" t="s">
        <v>122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17" x14ac:dyDescent="0.3">
      <c r="A6" s="18"/>
      <c r="E6" s="19"/>
      <c r="F6" s="19"/>
      <c r="G6" s="11"/>
    </row>
    <row r="7" spans="1:17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7" ht="28.8" x14ac:dyDescent="0.3">
      <c r="A8" s="54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17" x14ac:dyDescent="0.3">
      <c r="A9" s="29">
        <v>1</v>
      </c>
      <c r="B9" s="124" t="s">
        <v>29</v>
      </c>
      <c r="C9" s="125"/>
      <c r="D9" s="28">
        <v>2</v>
      </c>
      <c r="E9" s="7">
        <v>2</v>
      </c>
      <c r="F9" s="7">
        <v>2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  <c r="Q9" s="2" t="s">
        <v>2</v>
      </c>
    </row>
    <row r="10" spans="1:17" x14ac:dyDescent="0.3">
      <c r="A10" s="29">
        <v>2</v>
      </c>
      <c r="B10" s="124" t="s">
        <v>28</v>
      </c>
      <c r="C10" s="125"/>
      <c r="D10" s="28">
        <v>2</v>
      </c>
      <c r="E10" s="7">
        <v>2</v>
      </c>
      <c r="F10" s="7">
        <v>2</v>
      </c>
      <c r="G10" s="22">
        <f t="shared" ref="G10:G29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Q10" s="2" t="s">
        <v>48</v>
      </c>
    </row>
    <row r="11" spans="1:17" x14ac:dyDescent="0.3">
      <c r="A11" s="29">
        <v>3</v>
      </c>
      <c r="B11" s="124" t="s">
        <v>31</v>
      </c>
      <c r="C11" s="125"/>
      <c r="D11" s="28">
        <v>2</v>
      </c>
      <c r="E11" s="7">
        <v>2</v>
      </c>
      <c r="F11" s="7">
        <v>2</v>
      </c>
      <c r="G11" s="22">
        <f t="shared" si="0"/>
        <v>1</v>
      </c>
      <c r="H11" s="134"/>
      <c r="I11" s="134"/>
      <c r="J11" s="134"/>
      <c r="K11" s="134"/>
      <c r="Q11" s="2" t="s">
        <v>121</v>
      </c>
    </row>
    <row r="12" spans="1:17" x14ac:dyDescent="0.3">
      <c r="A12" s="29">
        <v>4</v>
      </c>
      <c r="B12" s="124" t="s">
        <v>30</v>
      </c>
      <c r="C12" s="125"/>
      <c r="D12" s="28">
        <v>2</v>
      </c>
      <c r="E12" s="7">
        <v>2</v>
      </c>
      <c r="F12" s="7">
        <v>2</v>
      </c>
      <c r="G12" s="22">
        <f t="shared" si="0"/>
        <v>1</v>
      </c>
      <c r="H12" s="134"/>
      <c r="I12" s="134"/>
      <c r="J12" s="134"/>
      <c r="K12" s="134"/>
      <c r="Q12" s="2" t="s">
        <v>13</v>
      </c>
    </row>
    <row r="13" spans="1:17" x14ac:dyDescent="0.3">
      <c r="A13" s="29">
        <v>5</v>
      </c>
      <c r="B13" s="124" t="s">
        <v>22</v>
      </c>
      <c r="C13" s="125"/>
      <c r="D13" s="28">
        <v>2</v>
      </c>
      <c r="E13" s="7">
        <v>2</v>
      </c>
      <c r="F13" s="7">
        <v>2</v>
      </c>
      <c r="G13" s="22">
        <f t="shared" si="0"/>
        <v>1</v>
      </c>
      <c r="H13" s="134"/>
      <c r="I13" s="134"/>
      <c r="J13" s="134"/>
      <c r="K13" s="134"/>
      <c r="Q13" s="2" t="s">
        <v>47</v>
      </c>
    </row>
    <row r="14" spans="1:17" x14ac:dyDescent="0.3">
      <c r="A14" s="29">
        <v>6</v>
      </c>
      <c r="B14" s="126" t="s">
        <v>55</v>
      </c>
      <c r="C14" s="127"/>
      <c r="D14" s="28">
        <v>1</v>
      </c>
      <c r="E14" s="7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Q14" s="2" t="s">
        <v>12</v>
      </c>
    </row>
    <row r="15" spans="1:17" x14ac:dyDescent="0.3">
      <c r="A15" s="117">
        <v>7</v>
      </c>
      <c r="B15" s="135" t="s">
        <v>24</v>
      </c>
      <c r="C15" s="136"/>
      <c r="D15" s="141">
        <v>1</v>
      </c>
      <c r="E15" s="144">
        <v>1</v>
      </c>
      <c r="F15" s="144">
        <v>1</v>
      </c>
      <c r="G15" s="128">
        <f>IF(D15="","",IF(D15=0,"-",IF(F15&gt;D15,"ERROR",IF(E15&gt;D15,"ERROR",IF(E15&lt;D15,0,IF(E15&gt;F15,0,IF(F15=D15,1,0)))))))</f>
        <v>1</v>
      </c>
      <c r="H15" s="51" t="s">
        <v>63</v>
      </c>
      <c r="I15" s="69"/>
      <c r="J15" s="51" t="s">
        <v>62</v>
      </c>
      <c r="K15" s="53"/>
      <c r="Q15" s="2" t="s">
        <v>122</v>
      </c>
    </row>
    <row r="16" spans="1:17" x14ac:dyDescent="0.3">
      <c r="A16" s="118"/>
      <c r="B16" s="137"/>
      <c r="C16" s="138"/>
      <c r="D16" s="142"/>
      <c r="E16" s="145"/>
      <c r="F16" s="145"/>
      <c r="G16" s="129"/>
      <c r="H16" s="51" t="s">
        <v>64</v>
      </c>
      <c r="I16" s="69"/>
      <c r="J16" s="51" t="s">
        <v>62</v>
      </c>
      <c r="K16" s="53"/>
      <c r="M16" s="2"/>
      <c r="N16" s="2"/>
      <c r="Q16" s="2" t="s">
        <v>123</v>
      </c>
    </row>
    <row r="17" spans="1:17" x14ac:dyDescent="0.3">
      <c r="A17" s="118"/>
      <c r="B17" s="137"/>
      <c r="C17" s="138"/>
      <c r="D17" s="142"/>
      <c r="E17" s="145"/>
      <c r="F17" s="145"/>
      <c r="G17" s="129"/>
      <c r="H17" s="51" t="s">
        <v>65</v>
      </c>
      <c r="I17" s="53"/>
      <c r="J17" s="51" t="s">
        <v>62</v>
      </c>
      <c r="K17" s="53"/>
      <c r="M17" s="2"/>
      <c r="N17" s="2"/>
      <c r="Q17" s="2" t="s">
        <v>14</v>
      </c>
    </row>
    <row r="18" spans="1:17" x14ac:dyDescent="0.3">
      <c r="A18" s="118"/>
      <c r="B18" s="137"/>
      <c r="C18" s="138"/>
      <c r="D18" s="142"/>
      <c r="E18" s="145"/>
      <c r="F18" s="145"/>
      <c r="G18" s="129"/>
      <c r="H18" s="51" t="s">
        <v>66</v>
      </c>
      <c r="I18" s="53"/>
      <c r="J18" s="51" t="s">
        <v>62</v>
      </c>
      <c r="K18" s="53"/>
      <c r="M18" s="2"/>
      <c r="N18" s="2"/>
      <c r="Q18" s="2" t="s">
        <v>6</v>
      </c>
    </row>
    <row r="19" spans="1:17" x14ac:dyDescent="0.3">
      <c r="A19" s="118"/>
      <c r="B19" s="137"/>
      <c r="C19" s="138"/>
      <c r="D19" s="142"/>
      <c r="E19" s="145"/>
      <c r="F19" s="145"/>
      <c r="G19" s="129"/>
      <c r="H19" s="51" t="s">
        <v>67</v>
      </c>
      <c r="I19" s="53"/>
      <c r="J19" s="51" t="s">
        <v>62</v>
      </c>
      <c r="K19" s="53"/>
      <c r="M19" s="2"/>
      <c r="N19" s="2"/>
      <c r="Q19" s="2" t="s">
        <v>78</v>
      </c>
    </row>
    <row r="20" spans="1:17" x14ac:dyDescent="0.3">
      <c r="A20" s="118"/>
      <c r="B20" s="137"/>
      <c r="C20" s="138"/>
      <c r="D20" s="142"/>
      <c r="E20" s="145"/>
      <c r="F20" s="145"/>
      <c r="G20" s="129"/>
      <c r="H20" s="51" t="s">
        <v>68</v>
      </c>
      <c r="I20" s="45"/>
      <c r="J20" s="51" t="s">
        <v>62</v>
      </c>
      <c r="K20" s="53"/>
      <c r="M20" s="2"/>
      <c r="N20" s="2"/>
      <c r="Q20" s="2" t="s">
        <v>7</v>
      </c>
    </row>
    <row r="21" spans="1:17" x14ac:dyDescent="0.3">
      <c r="A21" s="118"/>
      <c r="B21" s="137"/>
      <c r="C21" s="138"/>
      <c r="D21" s="142"/>
      <c r="E21" s="145"/>
      <c r="F21" s="145"/>
      <c r="G21" s="129"/>
      <c r="H21" s="51" t="s">
        <v>69</v>
      </c>
      <c r="I21" s="45"/>
      <c r="J21" s="51" t="s">
        <v>62</v>
      </c>
      <c r="K21" s="53"/>
      <c r="L21" s="4"/>
      <c r="M21" s="2"/>
      <c r="N21" s="2"/>
      <c r="Q21" s="2" t="s">
        <v>124</v>
      </c>
    </row>
    <row r="22" spans="1:17" x14ac:dyDescent="0.3">
      <c r="A22" s="119"/>
      <c r="B22" s="139"/>
      <c r="C22" s="140"/>
      <c r="D22" s="143"/>
      <c r="E22" s="146"/>
      <c r="F22" s="146"/>
      <c r="G22" s="130"/>
      <c r="H22" s="131"/>
      <c r="I22" s="132"/>
      <c r="J22" s="132"/>
      <c r="K22" s="133"/>
      <c r="L22" s="4"/>
      <c r="M22" s="2"/>
      <c r="N22" s="2"/>
      <c r="Q22" s="2" t="s">
        <v>125</v>
      </c>
    </row>
    <row r="23" spans="1:17" x14ac:dyDescent="0.3">
      <c r="A23" s="29">
        <v>8</v>
      </c>
      <c r="B23" s="126" t="s">
        <v>21</v>
      </c>
      <c r="C23" s="127"/>
      <c r="D23" s="28">
        <v>1</v>
      </c>
      <c r="E23" s="7">
        <v>1</v>
      </c>
      <c r="F23" s="7">
        <v>1</v>
      </c>
      <c r="G23" s="22">
        <f t="shared" si="0"/>
        <v>1</v>
      </c>
      <c r="H23" s="134"/>
      <c r="I23" s="134"/>
      <c r="J23" s="134"/>
      <c r="K23" s="134"/>
      <c r="M23" s="2"/>
      <c r="N23" s="2"/>
      <c r="Q23" s="2" t="s">
        <v>126</v>
      </c>
    </row>
    <row r="24" spans="1:17" x14ac:dyDescent="0.3">
      <c r="A24" s="29">
        <v>9</v>
      </c>
      <c r="B24" s="216" t="s">
        <v>20</v>
      </c>
      <c r="C24" s="217"/>
      <c r="D24" s="28">
        <v>1</v>
      </c>
      <c r="E24" s="7">
        <v>1</v>
      </c>
      <c r="F24" s="7">
        <v>1</v>
      </c>
      <c r="G24" s="22">
        <f t="shared" si="0"/>
        <v>1</v>
      </c>
      <c r="H24" s="175"/>
      <c r="I24" s="176"/>
      <c r="J24" s="176"/>
      <c r="K24" s="177"/>
      <c r="M24" s="2"/>
      <c r="N24" s="2"/>
      <c r="Q24" s="2" t="s">
        <v>127</v>
      </c>
    </row>
    <row r="25" spans="1:17" x14ac:dyDescent="0.3">
      <c r="A25" s="29">
        <v>10</v>
      </c>
      <c r="B25" s="124" t="s">
        <v>8</v>
      </c>
      <c r="C25" s="125"/>
      <c r="D25" s="28">
        <v>2</v>
      </c>
      <c r="E25" s="7">
        <v>2</v>
      </c>
      <c r="F25" s="7">
        <v>2</v>
      </c>
      <c r="G25" s="22">
        <f t="shared" si="0"/>
        <v>1</v>
      </c>
      <c r="H25" s="134"/>
      <c r="I25" s="134"/>
      <c r="J25" s="134"/>
      <c r="K25" s="134"/>
      <c r="M25" s="2"/>
      <c r="N25" s="2"/>
      <c r="Q25" s="2" t="s">
        <v>128</v>
      </c>
    </row>
    <row r="26" spans="1:17" x14ac:dyDescent="0.3">
      <c r="A26" s="29">
        <v>11</v>
      </c>
      <c r="B26" s="122" t="s">
        <v>132</v>
      </c>
      <c r="C26" s="123"/>
      <c r="D26" s="28">
        <v>0</v>
      </c>
      <c r="E26" s="28">
        <v>0</v>
      </c>
      <c r="F26" s="28">
        <v>0</v>
      </c>
      <c r="G26" s="22" t="str">
        <f t="shared" si="0"/>
        <v>-</v>
      </c>
      <c r="H26" s="175" t="s">
        <v>135</v>
      </c>
      <c r="I26" s="176"/>
      <c r="J26" s="176"/>
      <c r="K26" s="177"/>
      <c r="M26" s="2"/>
      <c r="N26" s="2"/>
      <c r="Q26" s="2" t="s">
        <v>129</v>
      </c>
    </row>
    <row r="27" spans="1:17" ht="18" customHeight="1" x14ac:dyDescent="0.3">
      <c r="A27" s="29">
        <v>12</v>
      </c>
      <c r="B27" s="120" t="s">
        <v>60</v>
      </c>
      <c r="C27" s="121"/>
      <c r="D27" s="28">
        <v>1</v>
      </c>
      <c r="E27" s="7">
        <v>1</v>
      </c>
      <c r="F27" s="7">
        <v>1</v>
      </c>
      <c r="G27" s="22">
        <f t="shared" si="0"/>
        <v>1</v>
      </c>
      <c r="H27" s="134"/>
      <c r="I27" s="134"/>
      <c r="J27" s="134"/>
      <c r="K27" s="134"/>
      <c r="Q27" s="2" t="s">
        <v>130</v>
      </c>
    </row>
    <row r="28" spans="1:17" ht="18" customHeight="1" x14ac:dyDescent="0.3">
      <c r="A28" s="29">
        <v>13</v>
      </c>
      <c r="B28" s="195" t="s">
        <v>56</v>
      </c>
      <c r="C28" s="196"/>
      <c r="D28" s="55">
        <v>1</v>
      </c>
      <c r="E28" s="7">
        <v>1</v>
      </c>
      <c r="F28" s="7">
        <v>1</v>
      </c>
      <c r="G28" s="52">
        <f t="shared" si="0"/>
        <v>1</v>
      </c>
      <c r="H28" s="197"/>
      <c r="I28" s="197"/>
      <c r="J28" s="197"/>
      <c r="K28" s="197"/>
    </row>
    <row r="29" spans="1:17" ht="18" customHeight="1" thickBot="1" x14ac:dyDescent="0.35">
      <c r="A29" s="29">
        <v>14</v>
      </c>
      <c r="B29" s="203" t="s">
        <v>70</v>
      </c>
      <c r="C29" s="204"/>
      <c r="D29" s="28">
        <v>1</v>
      </c>
      <c r="E29" s="7">
        <v>1</v>
      </c>
      <c r="F29" s="7">
        <v>1</v>
      </c>
      <c r="G29" s="22">
        <f t="shared" si="0"/>
        <v>1</v>
      </c>
      <c r="H29" s="134"/>
      <c r="I29" s="134"/>
      <c r="J29" s="134"/>
      <c r="K29" s="134"/>
    </row>
    <row r="30" spans="1:17" ht="19.5" customHeight="1" thickBot="1" x14ac:dyDescent="0.35">
      <c r="A30" s="198" t="s">
        <v>57</v>
      </c>
      <c r="B30" s="199"/>
      <c r="C30" s="199"/>
      <c r="D30" s="199"/>
      <c r="E30" s="199"/>
      <c r="F30" s="199"/>
      <c r="G30" s="200">
        <f>IFERROR(AVERAGE(G9:G28),"-")</f>
        <v>1</v>
      </c>
      <c r="H30" s="201"/>
      <c r="I30" s="201"/>
      <c r="J30" s="201"/>
      <c r="K30" s="202"/>
    </row>
    <row r="31" spans="1:17" x14ac:dyDescent="0.3">
      <c r="A31" s="34"/>
      <c r="E31" s="17"/>
      <c r="F31" s="35"/>
      <c r="G31" s="36"/>
      <c r="H31" s="25"/>
      <c r="I31" s="37"/>
      <c r="J31" s="23"/>
    </row>
    <row r="32" spans="1:17" x14ac:dyDescent="0.3">
      <c r="A32" s="193" t="s">
        <v>59</v>
      </c>
      <c r="B32" s="193"/>
      <c r="C32" s="215" t="s">
        <v>155</v>
      </c>
      <c r="D32" s="215"/>
      <c r="E32" s="38"/>
      <c r="F32" s="38"/>
      <c r="G32" s="24"/>
      <c r="H32" s="25"/>
      <c r="I32" s="26"/>
      <c r="J32" s="25"/>
    </row>
    <row r="33" spans="1:16" x14ac:dyDescent="0.3">
      <c r="A33" s="193" t="s">
        <v>61</v>
      </c>
      <c r="B33" s="193"/>
      <c r="C33" s="184" t="s">
        <v>91</v>
      </c>
      <c r="D33" s="185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92" t="s">
        <v>58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</row>
    <row r="36" spans="1:16" x14ac:dyDescent="0.3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17</v>
      </c>
      <c r="M39" s="21" t="s">
        <v>54</v>
      </c>
      <c r="N39" s="21" t="s">
        <v>53</v>
      </c>
      <c r="O39" s="42" t="s">
        <v>34</v>
      </c>
    </row>
    <row r="40" spans="1:16" ht="15.6" hidden="1" x14ac:dyDescent="0.3">
      <c r="K40" s="5" t="s">
        <v>10</v>
      </c>
      <c r="L40" s="8" t="s">
        <v>18</v>
      </c>
      <c r="M40" s="6">
        <v>0</v>
      </c>
      <c r="N40" s="44" t="s">
        <v>18</v>
      </c>
      <c r="O40" s="6" t="s">
        <v>35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19</v>
      </c>
      <c r="M41" s="15">
        <v>1</v>
      </c>
      <c r="N41" s="43" t="s">
        <v>19</v>
      </c>
      <c r="O41" s="6" t="s">
        <v>36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37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38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39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40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41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42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43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44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45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46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hidden="1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</sheetData>
  <mergeCells count="49">
    <mergeCell ref="B10:C10"/>
    <mergeCell ref="H10:K10"/>
    <mergeCell ref="A1:B3"/>
    <mergeCell ref="C5:G5"/>
    <mergeCell ref="I5:J5"/>
    <mergeCell ref="A7:K7"/>
    <mergeCell ref="B8:C8"/>
    <mergeCell ref="H8:K8"/>
    <mergeCell ref="B9:C9"/>
    <mergeCell ref="H9:K9"/>
    <mergeCell ref="J1:K1"/>
    <mergeCell ref="J3:K3"/>
    <mergeCell ref="C1:H3"/>
    <mergeCell ref="B11:C11"/>
    <mergeCell ref="H11:K11"/>
    <mergeCell ref="B12:C12"/>
    <mergeCell ref="H12:K12"/>
    <mergeCell ref="B13:C13"/>
    <mergeCell ref="H13:K13"/>
    <mergeCell ref="A15:A22"/>
    <mergeCell ref="B15:C22"/>
    <mergeCell ref="D15:D22"/>
    <mergeCell ref="E15:E22"/>
    <mergeCell ref="F15:F22"/>
    <mergeCell ref="B27:C27"/>
    <mergeCell ref="H27:K27"/>
    <mergeCell ref="B25:C25"/>
    <mergeCell ref="H25:K25"/>
    <mergeCell ref="B14:C14"/>
    <mergeCell ref="H14:K14"/>
    <mergeCell ref="G15:G22"/>
    <mergeCell ref="H22:K22"/>
    <mergeCell ref="B23:C23"/>
    <mergeCell ref="H23:K23"/>
    <mergeCell ref="B24:C24"/>
    <mergeCell ref="H24:K24"/>
    <mergeCell ref="B26:C26"/>
    <mergeCell ref="H26:K26"/>
    <mergeCell ref="B28:C28"/>
    <mergeCell ref="H28:K28"/>
    <mergeCell ref="B29:C29"/>
    <mergeCell ref="H29:K29"/>
    <mergeCell ref="A30:F30"/>
    <mergeCell ref="G30:K30"/>
    <mergeCell ref="A32:B32"/>
    <mergeCell ref="C32:D32"/>
    <mergeCell ref="A33:B33"/>
    <mergeCell ref="C33:D33"/>
    <mergeCell ref="A35:K36"/>
  </mergeCells>
  <dataValidations count="4">
    <dataValidation type="list" allowBlank="1" showInputMessage="1" showErrorMessage="1" sqref="C5:G5" xr:uid="{00000000-0002-0000-0E00-000000000000}">
      <formula1>$Q$9:$Q$27</formula1>
    </dataValidation>
    <dataValidation type="list" allowBlank="1" showInputMessage="1" showErrorMessage="1" sqref="D15 E9:F15 E23:F25 E27:F29" xr:uid="{00000000-0002-0000-0E00-000001000000}">
      <formula1>$M$41:$M$55</formula1>
    </dataValidation>
    <dataValidation type="list" allowBlank="1" showInputMessage="1" showErrorMessage="1" sqref="D9" xr:uid="{00000000-0002-0000-0E00-000002000000}">
      <formula1>$M$33:$M$48</formula1>
    </dataValidation>
    <dataValidation type="list" allowBlank="1" showInputMessage="1" showErrorMessage="1" sqref="D10:D14 D23:D25 D27:D29 D26:F26" xr:uid="{00000000-0002-0000-0E00-000003000000}">
      <formula1>$M$33:$M$49</formula1>
    </dataValidation>
  </dataValidations>
  <pageMargins left="0.7" right="0.7" top="0.75" bottom="0.75" header="0.3" footer="0.3"/>
  <pageSetup scale="61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20"/>
  <dimension ref="A1:Q65"/>
  <sheetViews>
    <sheetView view="pageBreakPreview" topLeftCell="A7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15.88671875" style="2" customWidth="1" collapsed="1"/>
    <col min="3" max="3" width="28.664062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11.5546875" style="2" customWidth="1" collapsed="1"/>
    <col min="9" max="9" width="13" style="2" customWidth="1" collapsed="1"/>
    <col min="10" max="10" width="16.6640625" style="2" customWidth="1" collapsed="1"/>
    <col min="11" max="11" width="13.33203125" style="2" customWidth="1" collapsed="1"/>
    <col min="12" max="12" width="14.44140625" style="2" customWidth="1" collapsed="1"/>
    <col min="13" max="14" width="11.44140625" style="6" customWidth="1" collapsed="1"/>
    <col min="15" max="16" width="11.44140625" style="2" customWidth="1" collapsed="1"/>
    <col min="17" max="17" width="0" style="2" hidden="1" customWidth="1" collapsed="1"/>
    <col min="18" max="16384" width="11.44140625" style="2" collapsed="1"/>
  </cols>
  <sheetData>
    <row r="1" spans="1:17" ht="15" customHeight="1" x14ac:dyDescent="0.3">
      <c r="A1" s="149"/>
      <c r="B1" s="149"/>
      <c r="C1" s="156" t="s">
        <v>16</v>
      </c>
      <c r="D1" s="157"/>
      <c r="E1" s="157"/>
      <c r="F1" s="157"/>
      <c r="G1" s="157"/>
      <c r="H1" s="158"/>
      <c r="I1" s="30" t="s">
        <v>25</v>
      </c>
      <c r="J1" s="210" t="s">
        <v>49</v>
      </c>
      <c r="K1" s="211"/>
    </row>
    <row r="2" spans="1:17" ht="21.7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17" x14ac:dyDescent="0.3">
      <c r="A3" s="149"/>
      <c r="B3" s="149"/>
      <c r="C3" s="162"/>
      <c r="D3" s="163"/>
      <c r="E3" s="163"/>
      <c r="F3" s="163"/>
      <c r="G3" s="163"/>
      <c r="H3" s="164"/>
      <c r="I3" s="30" t="s">
        <v>27</v>
      </c>
      <c r="J3" s="154">
        <v>42286</v>
      </c>
      <c r="K3" s="155"/>
    </row>
    <row r="4" spans="1:17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7" x14ac:dyDescent="0.3">
      <c r="A5" s="3"/>
      <c r="B5" s="13" t="s">
        <v>32</v>
      </c>
      <c r="C5" s="150" t="s">
        <v>126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17" x14ac:dyDescent="0.3">
      <c r="A6" s="18"/>
      <c r="E6" s="19"/>
      <c r="F6" s="19"/>
      <c r="G6" s="11"/>
    </row>
    <row r="7" spans="1:17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7" ht="28.8" x14ac:dyDescent="0.3">
      <c r="A8" s="54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17" x14ac:dyDescent="0.3">
      <c r="A9" s="29">
        <v>1</v>
      </c>
      <c r="B9" s="124" t="s">
        <v>29</v>
      </c>
      <c r="C9" s="125"/>
      <c r="D9" s="28">
        <v>8</v>
      </c>
      <c r="E9" s="7">
        <v>8</v>
      </c>
      <c r="F9" s="7">
        <v>8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  <c r="Q9" s="2" t="s">
        <v>2</v>
      </c>
    </row>
    <row r="10" spans="1:17" x14ac:dyDescent="0.3">
      <c r="A10" s="29">
        <v>2</v>
      </c>
      <c r="B10" s="124" t="s">
        <v>28</v>
      </c>
      <c r="C10" s="125"/>
      <c r="D10" s="28">
        <v>8</v>
      </c>
      <c r="E10" s="7">
        <v>8</v>
      </c>
      <c r="F10" s="7">
        <v>8</v>
      </c>
      <c r="G10" s="22">
        <f t="shared" ref="G10:G30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Q10" s="2" t="s">
        <v>48</v>
      </c>
    </row>
    <row r="11" spans="1:17" x14ac:dyDescent="0.3">
      <c r="A11" s="29">
        <v>3</v>
      </c>
      <c r="B11" s="124" t="s">
        <v>31</v>
      </c>
      <c r="C11" s="125"/>
      <c r="D11" s="28">
        <v>8</v>
      </c>
      <c r="E11" s="7">
        <v>8</v>
      </c>
      <c r="F11" s="7">
        <v>8</v>
      </c>
      <c r="G11" s="22">
        <f t="shared" si="0"/>
        <v>1</v>
      </c>
      <c r="H11" s="134"/>
      <c r="I11" s="134"/>
      <c r="J11" s="134"/>
      <c r="K11" s="134"/>
      <c r="Q11" s="2" t="s">
        <v>121</v>
      </c>
    </row>
    <row r="12" spans="1:17" x14ac:dyDescent="0.3">
      <c r="A12" s="29">
        <v>4</v>
      </c>
      <c r="B12" s="124" t="s">
        <v>30</v>
      </c>
      <c r="C12" s="125"/>
      <c r="D12" s="28">
        <v>8</v>
      </c>
      <c r="E12" s="7">
        <v>8</v>
      </c>
      <c r="F12" s="7">
        <v>8</v>
      </c>
      <c r="G12" s="22">
        <f t="shared" si="0"/>
        <v>1</v>
      </c>
      <c r="H12" s="134"/>
      <c r="I12" s="134"/>
      <c r="J12" s="134"/>
      <c r="K12" s="134"/>
      <c r="Q12" s="2" t="s">
        <v>13</v>
      </c>
    </row>
    <row r="13" spans="1:17" x14ac:dyDescent="0.3">
      <c r="A13" s="29">
        <v>5</v>
      </c>
      <c r="B13" s="124" t="s">
        <v>22</v>
      </c>
      <c r="C13" s="125"/>
      <c r="D13" s="28">
        <v>8</v>
      </c>
      <c r="E13" s="7">
        <v>8</v>
      </c>
      <c r="F13" s="7">
        <v>8</v>
      </c>
      <c r="G13" s="22">
        <f t="shared" si="0"/>
        <v>1</v>
      </c>
      <c r="H13" s="134"/>
      <c r="I13" s="134"/>
      <c r="J13" s="134"/>
      <c r="K13" s="134"/>
      <c r="Q13" s="2" t="s">
        <v>47</v>
      </c>
    </row>
    <row r="14" spans="1:17" x14ac:dyDescent="0.3">
      <c r="A14" s="29">
        <v>6</v>
      </c>
      <c r="B14" s="126" t="s">
        <v>55</v>
      </c>
      <c r="C14" s="127"/>
      <c r="D14" s="28">
        <v>1</v>
      </c>
      <c r="E14" s="7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Q14" s="2" t="s">
        <v>12</v>
      </c>
    </row>
    <row r="15" spans="1:17" x14ac:dyDescent="0.3">
      <c r="A15" s="117">
        <v>7</v>
      </c>
      <c r="B15" s="135" t="s">
        <v>24</v>
      </c>
      <c r="C15" s="136"/>
      <c r="D15" s="141">
        <v>7</v>
      </c>
      <c r="E15" s="144">
        <v>7</v>
      </c>
      <c r="F15" s="144">
        <v>7</v>
      </c>
      <c r="G15" s="128">
        <f>IF(D15="","",IF(D15=0,"-",IF(F15&gt;D15,"ERROR",IF(E15&gt;D15,"ERROR",IF(E15&lt;D15,0,IF(E15&gt;F15,0,IF(F15=D15,1,0)))))))</f>
        <v>1</v>
      </c>
      <c r="H15" s="51" t="s">
        <v>63</v>
      </c>
      <c r="I15" s="65"/>
      <c r="J15" s="51" t="s">
        <v>62</v>
      </c>
      <c r="K15" s="53"/>
      <c r="Q15" s="2" t="s">
        <v>122</v>
      </c>
    </row>
    <row r="16" spans="1:17" x14ac:dyDescent="0.3">
      <c r="A16" s="118"/>
      <c r="B16" s="137"/>
      <c r="C16" s="138"/>
      <c r="D16" s="142"/>
      <c r="E16" s="145"/>
      <c r="F16" s="145"/>
      <c r="G16" s="129"/>
      <c r="H16" s="51" t="s">
        <v>64</v>
      </c>
      <c r="I16" s="69"/>
      <c r="J16" s="51" t="s">
        <v>62</v>
      </c>
      <c r="K16" s="53"/>
      <c r="M16" s="2"/>
      <c r="N16" s="2"/>
      <c r="Q16" s="2" t="s">
        <v>123</v>
      </c>
    </row>
    <row r="17" spans="1:17" x14ac:dyDescent="0.3">
      <c r="A17" s="118"/>
      <c r="B17" s="137"/>
      <c r="C17" s="138"/>
      <c r="D17" s="142"/>
      <c r="E17" s="145"/>
      <c r="F17" s="145"/>
      <c r="G17" s="129"/>
      <c r="H17" s="51" t="s">
        <v>65</v>
      </c>
      <c r="I17" s="69"/>
      <c r="J17" s="51" t="s">
        <v>62</v>
      </c>
      <c r="K17" s="53"/>
      <c r="M17" s="2"/>
      <c r="N17" s="2"/>
      <c r="Q17" s="2" t="s">
        <v>14</v>
      </c>
    </row>
    <row r="18" spans="1:17" x14ac:dyDescent="0.3">
      <c r="A18" s="118"/>
      <c r="B18" s="137"/>
      <c r="C18" s="138"/>
      <c r="D18" s="142"/>
      <c r="E18" s="145"/>
      <c r="F18" s="145"/>
      <c r="G18" s="129"/>
      <c r="H18" s="51" t="s">
        <v>66</v>
      </c>
      <c r="I18" s="75"/>
      <c r="J18" s="51" t="s">
        <v>62</v>
      </c>
      <c r="K18" s="53"/>
      <c r="M18" s="2"/>
      <c r="N18" s="2"/>
      <c r="Q18" s="2" t="s">
        <v>6</v>
      </c>
    </row>
    <row r="19" spans="1:17" x14ac:dyDescent="0.3">
      <c r="A19" s="118"/>
      <c r="B19" s="137"/>
      <c r="C19" s="138"/>
      <c r="D19" s="142"/>
      <c r="E19" s="145"/>
      <c r="F19" s="145"/>
      <c r="G19" s="129"/>
      <c r="H19" s="51" t="s">
        <v>67</v>
      </c>
      <c r="I19" s="76"/>
      <c r="J19" s="51" t="s">
        <v>62</v>
      </c>
      <c r="K19" s="53"/>
      <c r="M19" s="2"/>
      <c r="N19" s="2"/>
      <c r="Q19" s="2" t="s">
        <v>78</v>
      </c>
    </row>
    <row r="20" spans="1:17" x14ac:dyDescent="0.3">
      <c r="A20" s="118"/>
      <c r="B20" s="137"/>
      <c r="C20" s="138"/>
      <c r="D20" s="142"/>
      <c r="E20" s="145"/>
      <c r="F20" s="145"/>
      <c r="G20" s="129"/>
      <c r="H20" s="51" t="s">
        <v>68</v>
      </c>
      <c r="I20" s="75"/>
      <c r="J20" s="51" t="s">
        <v>62</v>
      </c>
      <c r="K20" s="59"/>
      <c r="M20" s="2"/>
      <c r="N20" s="2"/>
      <c r="Q20" s="2" t="s">
        <v>7</v>
      </c>
    </row>
    <row r="21" spans="1:17" x14ac:dyDescent="0.3">
      <c r="A21" s="118"/>
      <c r="B21" s="137"/>
      <c r="C21" s="138"/>
      <c r="D21" s="142"/>
      <c r="E21" s="145"/>
      <c r="F21" s="145"/>
      <c r="G21" s="129"/>
      <c r="H21" s="51" t="s">
        <v>69</v>
      </c>
      <c r="I21" s="75"/>
      <c r="J21" s="51" t="s">
        <v>62</v>
      </c>
      <c r="K21" s="53"/>
      <c r="M21" s="2"/>
      <c r="N21" s="2"/>
      <c r="Q21" s="2" t="s">
        <v>124</v>
      </c>
    </row>
    <row r="22" spans="1:17" x14ac:dyDescent="0.3">
      <c r="A22" s="118"/>
      <c r="B22" s="137"/>
      <c r="C22" s="138"/>
      <c r="D22" s="142"/>
      <c r="E22" s="145"/>
      <c r="F22" s="145"/>
      <c r="G22" s="129"/>
      <c r="H22" s="51" t="s">
        <v>87</v>
      </c>
      <c r="I22" s="76"/>
      <c r="J22" s="51" t="s">
        <v>62</v>
      </c>
      <c r="K22" s="53"/>
      <c r="L22" s="4"/>
      <c r="M22" s="2"/>
      <c r="N22" s="2"/>
      <c r="Q22" s="2" t="s">
        <v>125</v>
      </c>
    </row>
    <row r="23" spans="1:17" x14ac:dyDescent="0.3">
      <c r="A23" s="119"/>
      <c r="B23" s="139"/>
      <c r="C23" s="140"/>
      <c r="D23" s="143"/>
      <c r="E23" s="146"/>
      <c r="F23" s="146"/>
      <c r="G23" s="130"/>
      <c r="H23" s="131"/>
      <c r="I23" s="132"/>
      <c r="J23" s="132"/>
      <c r="K23" s="133"/>
      <c r="L23" s="4"/>
      <c r="M23" s="2"/>
      <c r="N23" s="2"/>
      <c r="Q23" s="2" t="s">
        <v>126</v>
      </c>
    </row>
    <row r="24" spans="1:17" x14ac:dyDescent="0.3">
      <c r="A24" s="29">
        <v>8</v>
      </c>
      <c r="B24" s="126" t="s">
        <v>21</v>
      </c>
      <c r="C24" s="127"/>
      <c r="D24" s="28">
        <v>2</v>
      </c>
      <c r="E24" s="7">
        <v>2</v>
      </c>
      <c r="F24" s="7">
        <v>2</v>
      </c>
      <c r="G24" s="22">
        <f t="shared" si="0"/>
        <v>1</v>
      </c>
      <c r="H24" s="134"/>
      <c r="I24" s="134"/>
      <c r="J24" s="134"/>
      <c r="K24" s="134"/>
      <c r="M24" s="2"/>
      <c r="N24" s="2"/>
      <c r="Q24" s="2" t="s">
        <v>127</v>
      </c>
    </row>
    <row r="25" spans="1:17" x14ac:dyDescent="0.3">
      <c r="A25" s="29">
        <v>9</v>
      </c>
      <c r="B25" s="126" t="s">
        <v>20</v>
      </c>
      <c r="C25" s="127"/>
      <c r="D25" s="28">
        <v>3</v>
      </c>
      <c r="E25" s="7">
        <v>3</v>
      </c>
      <c r="F25" s="7">
        <v>3</v>
      </c>
      <c r="G25" s="22">
        <f t="shared" si="0"/>
        <v>1</v>
      </c>
      <c r="H25" s="134"/>
      <c r="I25" s="134"/>
      <c r="J25" s="134"/>
      <c r="K25" s="134"/>
      <c r="M25" s="2"/>
      <c r="N25" s="2"/>
      <c r="Q25" s="2" t="s">
        <v>128</v>
      </c>
    </row>
    <row r="26" spans="1:17" x14ac:dyDescent="0.3">
      <c r="A26" s="29">
        <v>10</v>
      </c>
      <c r="B26" s="124" t="s">
        <v>8</v>
      </c>
      <c r="C26" s="125"/>
      <c r="D26" s="28">
        <v>8</v>
      </c>
      <c r="E26" s="7">
        <v>8</v>
      </c>
      <c r="F26" s="7">
        <v>8</v>
      </c>
      <c r="G26" s="22">
        <f t="shared" si="0"/>
        <v>1</v>
      </c>
      <c r="H26" s="134"/>
      <c r="I26" s="134"/>
      <c r="J26" s="134"/>
      <c r="K26" s="134"/>
      <c r="M26" s="2"/>
      <c r="N26" s="2"/>
      <c r="Q26" s="2" t="s">
        <v>129</v>
      </c>
    </row>
    <row r="27" spans="1:17" x14ac:dyDescent="0.3">
      <c r="A27" s="29">
        <v>11</v>
      </c>
      <c r="B27" s="122" t="s">
        <v>132</v>
      </c>
      <c r="C27" s="123"/>
      <c r="D27" s="28">
        <v>3</v>
      </c>
      <c r="E27" s="28">
        <v>3</v>
      </c>
      <c r="F27" s="28">
        <v>3</v>
      </c>
      <c r="G27" s="22">
        <f t="shared" si="0"/>
        <v>1</v>
      </c>
      <c r="H27" s="175"/>
      <c r="I27" s="176"/>
      <c r="J27" s="176"/>
      <c r="K27" s="177"/>
      <c r="M27" s="2"/>
      <c r="N27" s="2"/>
      <c r="Q27" s="2" t="s">
        <v>130</v>
      </c>
    </row>
    <row r="28" spans="1:17" ht="18" customHeight="1" x14ac:dyDescent="0.3">
      <c r="A28" s="29">
        <v>12</v>
      </c>
      <c r="B28" s="120" t="s">
        <v>60</v>
      </c>
      <c r="C28" s="121"/>
      <c r="D28" s="28">
        <v>1</v>
      </c>
      <c r="E28" s="7">
        <v>1</v>
      </c>
      <c r="F28" s="7">
        <v>1</v>
      </c>
      <c r="G28" s="22">
        <f t="shared" si="0"/>
        <v>1</v>
      </c>
      <c r="H28" s="134"/>
      <c r="I28" s="134"/>
      <c r="J28" s="134"/>
      <c r="K28" s="134"/>
    </row>
    <row r="29" spans="1:17" ht="18" customHeight="1" x14ac:dyDescent="0.3">
      <c r="A29" s="29">
        <v>13</v>
      </c>
      <c r="B29" s="195" t="s">
        <v>56</v>
      </c>
      <c r="C29" s="196"/>
      <c r="D29" s="55">
        <v>1</v>
      </c>
      <c r="E29" s="7">
        <v>1</v>
      </c>
      <c r="F29" s="7">
        <v>1</v>
      </c>
      <c r="G29" s="52">
        <f t="shared" si="0"/>
        <v>1</v>
      </c>
      <c r="H29" s="197"/>
      <c r="I29" s="197"/>
      <c r="J29" s="197"/>
      <c r="K29" s="197"/>
    </row>
    <row r="30" spans="1:17" ht="18" customHeight="1" thickBot="1" x14ac:dyDescent="0.35">
      <c r="A30" s="29">
        <v>14</v>
      </c>
      <c r="B30" s="167" t="s">
        <v>70</v>
      </c>
      <c r="C30" s="207"/>
      <c r="D30" s="28">
        <v>7</v>
      </c>
      <c r="E30" s="7">
        <v>7</v>
      </c>
      <c r="F30" s="7">
        <v>7</v>
      </c>
      <c r="G30" s="22">
        <f t="shared" si="0"/>
        <v>1</v>
      </c>
      <c r="H30" s="134"/>
      <c r="I30" s="134"/>
      <c r="J30" s="134"/>
      <c r="K30" s="134"/>
    </row>
    <row r="31" spans="1:17" ht="19.5" customHeight="1" thickBot="1" x14ac:dyDescent="0.35">
      <c r="A31" s="198" t="s">
        <v>57</v>
      </c>
      <c r="B31" s="199"/>
      <c r="C31" s="199"/>
      <c r="D31" s="199"/>
      <c r="E31" s="199"/>
      <c r="F31" s="199"/>
      <c r="G31" s="200">
        <f>IFERROR(AVERAGE(G9:G29),"-")</f>
        <v>1</v>
      </c>
      <c r="H31" s="201"/>
      <c r="I31" s="201"/>
      <c r="J31" s="201"/>
      <c r="K31" s="202"/>
    </row>
    <row r="32" spans="1:17" x14ac:dyDescent="0.3">
      <c r="A32" s="34"/>
      <c r="E32" s="17"/>
      <c r="F32" s="35"/>
      <c r="G32" s="36"/>
      <c r="H32" s="25"/>
      <c r="I32" s="37"/>
      <c r="J32" s="23"/>
    </row>
    <row r="33" spans="1:16" x14ac:dyDescent="0.3">
      <c r="A33" s="193" t="s">
        <v>59</v>
      </c>
      <c r="B33" s="193"/>
      <c r="C33" s="194" t="s">
        <v>157</v>
      </c>
      <c r="D33" s="194"/>
      <c r="E33" s="38"/>
      <c r="F33" s="38"/>
      <c r="G33" s="24"/>
      <c r="H33" s="25"/>
      <c r="I33" s="26"/>
      <c r="J33" s="25"/>
    </row>
    <row r="34" spans="1:16" x14ac:dyDescent="0.3">
      <c r="A34" s="193" t="s">
        <v>61</v>
      </c>
      <c r="B34" s="193"/>
      <c r="C34" s="184" t="s">
        <v>88</v>
      </c>
      <c r="D34" s="185"/>
      <c r="E34" s="39"/>
      <c r="F34" s="39"/>
      <c r="G34" s="27"/>
      <c r="H34" s="26"/>
      <c r="I34" s="26"/>
      <c r="J34" s="25"/>
    </row>
    <row r="35" spans="1:16" x14ac:dyDescent="0.3">
      <c r="A35" s="40"/>
      <c r="B35" s="40"/>
      <c r="C35" s="41"/>
      <c r="D35" s="41"/>
      <c r="E35" s="39"/>
      <c r="F35" s="39"/>
      <c r="G35" s="27"/>
      <c r="H35" s="26"/>
      <c r="I35" s="26"/>
      <c r="J35" s="25"/>
    </row>
    <row r="36" spans="1:16" x14ac:dyDescent="0.3">
      <c r="A36" s="192" t="s">
        <v>58</v>
      </c>
      <c r="B36" s="192"/>
      <c r="C36" s="192"/>
      <c r="D36" s="192"/>
      <c r="E36" s="192"/>
      <c r="F36" s="192"/>
      <c r="G36" s="192"/>
      <c r="H36" s="192"/>
      <c r="I36" s="192"/>
      <c r="J36" s="192"/>
      <c r="K36" s="192"/>
    </row>
    <row r="37" spans="1:16" x14ac:dyDescent="0.3">
      <c r="A37" s="192"/>
      <c r="B37" s="192"/>
      <c r="C37" s="192"/>
      <c r="D37" s="192"/>
      <c r="E37" s="192"/>
      <c r="F37" s="192"/>
      <c r="G37" s="192"/>
      <c r="H37" s="192"/>
      <c r="I37" s="192"/>
      <c r="J37" s="192"/>
      <c r="K37" s="192"/>
      <c r="M37" s="2"/>
      <c r="N37" s="2"/>
    </row>
    <row r="38" spans="1:16" hidden="1" x14ac:dyDescent="0.3">
      <c r="M38" s="2"/>
      <c r="N38" s="2"/>
    </row>
    <row r="39" spans="1:16" hidden="1" x14ac:dyDescent="0.3">
      <c r="M39" s="2"/>
      <c r="N39" s="2"/>
    </row>
    <row r="40" spans="1:16" ht="28.8" hidden="1" x14ac:dyDescent="0.3">
      <c r="L40" s="5" t="s">
        <v>17</v>
      </c>
      <c r="M40" s="21" t="s">
        <v>54</v>
      </c>
      <c r="N40" s="21" t="s">
        <v>53</v>
      </c>
      <c r="O40" s="42" t="s">
        <v>34</v>
      </c>
    </row>
    <row r="41" spans="1:16" ht="15.6" hidden="1" x14ac:dyDescent="0.3">
      <c r="K41" s="5" t="s">
        <v>10</v>
      </c>
      <c r="L41" s="8" t="s">
        <v>18</v>
      </c>
      <c r="M41" s="6">
        <v>0</v>
      </c>
      <c r="N41" s="44" t="s">
        <v>18</v>
      </c>
      <c r="O41" s="6" t="s">
        <v>35</v>
      </c>
      <c r="P41" s="10"/>
    </row>
    <row r="42" spans="1:16" hidden="1" x14ac:dyDescent="0.3">
      <c r="K42" s="1" t="str">
        <f>IF(MAESTRO!A1="","",MAESTRO!A1)</f>
        <v>******SUCURSALES</v>
      </c>
      <c r="L42" s="43" t="s">
        <v>19</v>
      </c>
      <c r="M42" s="15">
        <v>1</v>
      </c>
      <c r="N42" s="43" t="s">
        <v>19</v>
      </c>
      <c r="O42" s="6" t="s">
        <v>36</v>
      </c>
    </row>
    <row r="43" spans="1:16" hidden="1" x14ac:dyDescent="0.3">
      <c r="K43" s="1" t="str">
        <f>IF(MAESTRO!A2="","",MAESTRO!A2)</f>
        <v>LA CASA DE LA CAÑA, C.A. (T. ALTERNA)</v>
      </c>
      <c r="M43" s="16">
        <v>2</v>
      </c>
      <c r="N43" s="16"/>
      <c r="O43" s="6" t="s">
        <v>37</v>
      </c>
    </row>
    <row r="44" spans="1:16" hidden="1" x14ac:dyDescent="0.3">
      <c r="K44" s="1" t="str">
        <f>IF(MAESTRO!A3="","",MAESTRO!A3)</f>
        <v>LA CASA DE LA CAÑA, C.A. (T. ANACO)</v>
      </c>
      <c r="M44" s="16">
        <v>3</v>
      </c>
      <c r="N44" s="16"/>
      <c r="O44" s="6" t="s">
        <v>38</v>
      </c>
    </row>
    <row r="45" spans="1:16" hidden="1" x14ac:dyDescent="0.3">
      <c r="K45" s="1" t="str">
        <f>IF(MAESTRO!A4="","",MAESTRO!A4)</f>
        <v>LA CASA DE LA CAÑA, C.A. (T. CUMANÁ)</v>
      </c>
      <c r="L45" s="1"/>
      <c r="M45" s="16">
        <v>4</v>
      </c>
      <c r="N45" s="15"/>
      <c r="O45" s="6" t="s">
        <v>39</v>
      </c>
    </row>
    <row r="46" spans="1:16" hidden="1" x14ac:dyDescent="0.3">
      <c r="K46" s="1" t="str">
        <f>IF(MAESTRO!A5="","",MAESTRO!A5)</f>
        <v>LA CASA DE LA CAÑA, C.A. (T. MATURÍN I)</v>
      </c>
      <c r="L46" s="1"/>
      <c r="M46" s="15">
        <v>5</v>
      </c>
      <c r="N46" s="15"/>
      <c r="O46" s="6" t="s">
        <v>40</v>
      </c>
    </row>
    <row r="47" spans="1:16" hidden="1" x14ac:dyDescent="0.3">
      <c r="K47" s="1" t="str">
        <f>IF(MAESTRO!A6="","",MAESTRO!A6)</f>
        <v>LA CASA DE LA CAÑA, C.A. (T. MATURÍN II)</v>
      </c>
      <c r="L47" s="1"/>
      <c r="M47" s="15">
        <v>6</v>
      </c>
      <c r="N47" s="15"/>
      <c r="O47" s="6" t="s">
        <v>41</v>
      </c>
    </row>
    <row r="48" spans="1:16" hidden="1" x14ac:dyDescent="0.3">
      <c r="K48" s="1" t="str">
        <f>IF(MAESTRO!A7="","",MAESTRO!A7)</f>
        <v>LA CASA DE LA CAÑA, C.A. (T. NVA. BARCELONA)</v>
      </c>
      <c r="L48" s="1"/>
      <c r="M48" s="15">
        <v>7</v>
      </c>
      <c r="N48" s="15"/>
      <c r="O48" s="6" t="s">
        <v>42</v>
      </c>
    </row>
    <row r="49" spans="5:15" hidden="1" x14ac:dyDescent="0.3">
      <c r="K49" s="1" t="str">
        <f>IF(MAESTRO!A8="","",MAESTRO!A8)</f>
        <v>INVERSIONES CAÑANDONGA,C.A (T. CONEJERO)</v>
      </c>
      <c r="L49" s="1"/>
      <c r="M49" s="15">
        <v>8</v>
      </c>
      <c r="N49" s="15"/>
      <c r="O49" s="6" t="s">
        <v>43</v>
      </c>
    </row>
    <row r="50" spans="5:15" hidden="1" x14ac:dyDescent="0.3">
      <c r="E50" s="2"/>
      <c r="F50" s="2"/>
      <c r="G50" s="2"/>
      <c r="K50" s="1" t="str">
        <f>IF(MAESTRO!A9="","",MAESTRO!A9)</f>
        <v>OPERADORA EL MERCADO 2011, C.A. (T. MERCADO)</v>
      </c>
      <c r="L50" s="1"/>
      <c r="M50" s="15">
        <v>9</v>
      </c>
      <c r="N50" s="15"/>
      <c r="O50" s="6" t="s">
        <v>44</v>
      </c>
    </row>
    <row r="51" spans="5:15" hidden="1" x14ac:dyDescent="0.3">
      <c r="E51" s="2"/>
      <c r="F51" s="2"/>
      <c r="G51" s="2"/>
      <c r="K51" s="1" t="str">
        <f>IF(MAESTRO!A10="","",MAESTRO!A10)</f>
        <v>OPERADORA EL PUENTE 2011, C.A. (T. PUENTE REAL)</v>
      </c>
      <c r="L51" s="1"/>
      <c r="M51" s="15">
        <v>10</v>
      </c>
      <c r="N51" s="15"/>
      <c r="O51" s="6" t="s">
        <v>45</v>
      </c>
    </row>
    <row r="52" spans="5:15" hidden="1" x14ac:dyDescent="0.3">
      <c r="E52" s="2"/>
      <c r="F52" s="2"/>
      <c r="G52" s="2"/>
      <c r="K52" s="1" t="str">
        <f>IF(MAESTRO!A11="","",MAESTRO!A11)</f>
        <v>OPERADORA LECHERÍA 2011, C.A. (T. LECHERÍA)</v>
      </c>
      <c r="L52" s="1"/>
      <c r="M52" s="15">
        <v>11</v>
      </c>
      <c r="N52" s="15"/>
      <c r="O52" s="6" t="s">
        <v>46</v>
      </c>
    </row>
    <row r="53" spans="5:15" hidden="1" x14ac:dyDescent="0.3">
      <c r="E53" s="2"/>
      <c r="F53" s="2"/>
      <c r="G53" s="2"/>
      <c r="K53" s="1" t="str">
        <f>IF(MAESTRO!A12="","",MAESTRO!A12)</f>
        <v>OPERADORA PUERTO LA CRUZ 2011, C.A. (T. PUERTO LA CRUZ)</v>
      </c>
      <c r="L53" s="1"/>
      <c r="M53" s="15">
        <v>12</v>
      </c>
      <c r="N53" s="15"/>
      <c r="O53" s="6"/>
    </row>
    <row r="54" spans="5:15" hidden="1" x14ac:dyDescent="0.3">
      <c r="E54" s="2"/>
      <c r="F54" s="2"/>
      <c r="G54" s="2"/>
      <c r="K54" s="1" t="str">
        <f>IF(MAESTRO!A13="","",MAESTRO!A13)</f>
        <v>OPERADORA PUERTO ORDAZ 2013, C.A.(T. PUERTO ORDAZ)</v>
      </c>
      <c r="L54" s="1"/>
      <c r="M54" s="15">
        <v>13</v>
      </c>
      <c r="N54" s="15"/>
      <c r="O54" s="6"/>
    </row>
    <row r="55" spans="5:15" hidden="1" x14ac:dyDescent="0.3">
      <c r="E55" s="2"/>
      <c r="F55" s="2"/>
      <c r="G55" s="2"/>
      <c r="K55" s="1" t="str">
        <f>IF(MAESTRO!A14="","",MAESTRO!A14)</f>
        <v>OPERADORA LAS AMERICAS, C.A</v>
      </c>
      <c r="L55" s="1"/>
      <c r="M55" s="15">
        <v>14</v>
      </c>
      <c r="N55" s="15"/>
      <c r="O55" s="6"/>
    </row>
    <row r="56" spans="5:15" hidden="1" x14ac:dyDescent="0.3">
      <c r="E56" s="2"/>
      <c r="F56" s="2"/>
      <c r="G56" s="2"/>
      <c r="K56" s="1" t="str">
        <f>IF(MAESTRO!A15="","",MAESTRO!A15)</f>
        <v>OPERADORA PLAZA DEL SOL 2015, C.A</v>
      </c>
      <c r="M56" s="15">
        <v>15</v>
      </c>
      <c r="O56" s="6"/>
    </row>
    <row r="57" spans="5:15" hidden="1" x14ac:dyDescent="0.3">
      <c r="E57" s="2"/>
      <c r="F57" s="2"/>
      <c r="G57" s="2"/>
      <c r="K57" s="1" t="str">
        <f>IF(MAESTRO!A16="","",MAESTRO!A16)</f>
        <v>RELIVE, C.A. (T. CHUPARÍN)</v>
      </c>
    </row>
    <row r="58" spans="5:15" hidden="1" x14ac:dyDescent="0.3">
      <c r="K58" s="1" t="str">
        <f>IF(MAESTRO!A17="","",MAESTRO!A17)</f>
        <v>RELIVE, C.A. (T. TERRAZAS)</v>
      </c>
    </row>
    <row r="59" spans="5:15" hidden="1" x14ac:dyDescent="0.3">
      <c r="K59" s="1" t="str">
        <f>IF(MAESTRO!A18="","",MAESTRO!A18)</f>
        <v>RELIVE, C.A. (T. TIGRE II)</v>
      </c>
    </row>
    <row r="60" spans="5:15" hidden="1" x14ac:dyDescent="0.3">
      <c r="K60" s="1" t="str">
        <f>IF(MAESTRO!A19="","",MAESTRO!A19)</f>
        <v>RELIVE, C.A. (T. TIGRE III)</v>
      </c>
    </row>
    <row r="61" spans="5:15" hidden="1" x14ac:dyDescent="0.3">
      <c r="K61" s="1"/>
    </row>
    <row r="62" spans="5:15" hidden="1" x14ac:dyDescent="0.3">
      <c r="K62" s="1" t="str">
        <f>IF(MAESTRO!A21="","",MAESTRO!A21)</f>
        <v/>
      </c>
    </row>
    <row r="63" spans="5:15" hidden="1" x14ac:dyDescent="0.3"/>
    <row r="64" spans="5:15" hidden="1" x14ac:dyDescent="0.3"/>
    <row r="65" hidden="1" x14ac:dyDescent="0.3"/>
  </sheetData>
  <sheetProtection selectLockedCells="1"/>
  <mergeCells count="49">
    <mergeCell ref="B10:C10"/>
    <mergeCell ref="H10:K10"/>
    <mergeCell ref="A1:B3"/>
    <mergeCell ref="C5:G5"/>
    <mergeCell ref="I5:J5"/>
    <mergeCell ref="A7:K7"/>
    <mergeCell ref="B8:C8"/>
    <mergeCell ref="H8:K8"/>
    <mergeCell ref="B9:C9"/>
    <mergeCell ref="H9:K9"/>
    <mergeCell ref="C1:H3"/>
    <mergeCell ref="J1:K1"/>
    <mergeCell ref="J3:K3"/>
    <mergeCell ref="B11:C11"/>
    <mergeCell ref="H11:K11"/>
    <mergeCell ref="B12:C12"/>
    <mergeCell ref="H12:K12"/>
    <mergeCell ref="B13:C13"/>
    <mergeCell ref="H13:K13"/>
    <mergeCell ref="A15:A23"/>
    <mergeCell ref="B15:C23"/>
    <mergeCell ref="D15:D23"/>
    <mergeCell ref="E15:E23"/>
    <mergeCell ref="F15:F23"/>
    <mergeCell ref="B14:C14"/>
    <mergeCell ref="H14:K14"/>
    <mergeCell ref="G15:G23"/>
    <mergeCell ref="H23:K23"/>
    <mergeCell ref="B24:C24"/>
    <mergeCell ref="H24:K24"/>
    <mergeCell ref="B28:C28"/>
    <mergeCell ref="H28:K28"/>
    <mergeCell ref="B26:C26"/>
    <mergeCell ref="H26:K26"/>
    <mergeCell ref="B25:C25"/>
    <mergeCell ref="H25:K25"/>
    <mergeCell ref="B27:C27"/>
    <mergeCell ref="H27:K27"/>
    <mergeCell ref="B29:C29"/>
    <mergeCell ref="H29:K29"/>
    <mergeCell ref="B30:C30"/>
    <mergeCell ref="H30:K30"/>
    <mergeCell ref="A31:F31"/>
    <mergeCell ref="G31:K31"/>
    <mergeCell ref="A33:B33"/>
    <mergeCell ref="C33:D33"/>
    <mergeCell ref="A34:B34"/>
    <mergeCell ref="C34:D34"/>
    <mergeCell ref="A36:K37"/>
  </mergeCells>
  <dataValidations count="5">
    <dataValidation type="list" allowBlank="1" showInputMessage="1" showErrorMessage="1" sqref="C5:G5" xr:uid="{00000000-0002-0000-0F00-000000000000}">
      <formula1>$Q$9:$Q$27</formula1>
    </dataValidation>
    <dataValidation type="list" allowBlank="1" showInputMessage="1" showErrorMessage="1" sqref="D15 E9:F15 E24:F26 E28:F30" xr:uid="{00000000-0002-0000-0F00-000001000000}">
      <formula1>$M$42:$M$56</formula1>
    </dataValidation>
    <dataValidation type="list" allowBlank="1" showInputMessage="1" showErrorMessage="1" sqref="D9" xr:uid="{00000000-0002-0000-0F00-000002000000}">
      <formula1>$M$34:$M$49</formula1>
    </dataValidation>
    <dataValidation type="list" allowBlank="1" showInputMessage="1" showErrorMessage="1" sqref="D10:D14 D24:D26 D28:D30" xr:uid="{00000000-0002-0000-0F00-000003000000}">
      <formula1>$M$34:$M$50</formula1>
    </dataValidation>
    <dataValidation type="list" allowBlank="1" showInputMessage="1" showErrorMessage="1" sqref="D27:F27" xr:uid="{00000000-0002-0000-0F00-000004000000}">
      <formula1>$M$33:$M$49</formula1>
    </dataValidation>
  </dataValidations>
  <pageMargins left="0.7" right="0.7" top="0.75" bottom="0.75" header="0.3" footer="0.3"/>
  <pageSetup scale="5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61"/>
  <sheetViews>
    <sheetView view="pageBreakPreview" topLeftCell="A10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15.44140625" style="2" customWidth="1" collapsed="1"/>
    <col min="3" max="3" width="23.55468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3.33203125" style="2" customWidth="1" collapsed="1"/>
    <col min="12" max="12" width="14.44140625" style="2" customWidth="1" collapsed="1"/>
    <col min="13" max="14" width="11.44140625" style="6" customWidth="1" collapsed="1"/>
    <col min="15" max="16" width="11.44140625" style="2" customWidth="1" collapsed="1"/>
    <col min="17" max="17" width="11.44140625" style="2" collapsed="1"/>
    <col min="18" max="18" width="0" style="2" hidden="1" customWidth="1" collapsed="1"/>
    <col min="19" max="16384" width="11.44140625" style="2" collapsed="1"/>
  </cols>
  <sheetData>
    <row r="1" spans="1:18" ht="15" customHeight="1" x14ac:dyDescent="0.3">
      <c r="A1" s="149"/>
      <c r="B1" s="149"/>
      <c r="C1" s="156" t="s">
        <v>16</v>
      </c>
      <c r="D1" s="157"/>
      <c r="E1" s="157"/>
      <c r="F1" s="157"/>
      <c r="G1" s="157"/>
      <c r="H1" s="158"/>
      <c r="I1" s="30" t="s">
        <v>25</v>
      </c>
      <c r="J1" s="210" t="s">
        <v>49</v>
      </c>
      <c r="K1" s="211"/>
    </row>
    <row r="2" spans="1:18" ht="20.2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18" x14ac:dyDescent="0.3">
      <c r="A3" s="149"/>
      <c r="B3" s="149"/>
      <c r="C3" s="162"/>
      <c r="D3" s="163"/>
      <c r="E3" s="163"/>
      <c r="F3" s="163"/>
      <c r="G3" s="163"/>
      <c r="H3" s="164"/>
      <c r="I3" s="30" t="s">
        <v>27</v>
      </c>
      <c r="J3" s="154">
        <v>42286</v>
      </c>
      <c r="K3" s="155"/>
    </row>
    <row r="4" spans="1:18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8" ht="15.75" customHeight="1" x14ac:dyDescent="0.3">
      <c r="A5" s="3"/>
      <c r="B5" s="13" t="s">
        <v>32</v>
      </c>
      <c r="C5" s="150" t="s">
        <v>134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18" ht="15.75" customHeight="1" x14ac:dyDescent="0.3">
      <c r="A6" s="18"/>
      <c r="E6" s="19"/>
      <c r="F6" s="19"/>
      <c r="G6" s="11"/>
    </row>
    <row r="7" spans="1:18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8" ht="28.8" x14ac:dyDescent="0.3">
      <c r="A8" s="79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18" ht="18" customHeight="1" x14ac:dyDescent="0.3">
      <c r="A9" s="29">
        <v>1</v>
      </c>
      <c r="B9" s="124" t="s">
        <v>29</v>
      </c>
      <c r="C9" s="125"/>
      <c r="D9" s="28">
        <v>5</v>
      </c>
      <c r="E9" s="7">
        <v>5</v>
      </c>
      <c r="F9" s="7">
        <v>5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  <c r="R9" s="2" t="s">
        <v>2</v>
      </c>
    </row>
    <row r="10" spans="1:18" ht="18" customHeight="1" x14ac:dyDescent="0.3">
      <c r="A10" s="29">
        <v>2</v>
      </c>
      <c r="B10" s="124" t="s">
        <v>28</v>
      </c>
      <c r="C10" s="125"/>
      <c r="D10" s="28">
        <v>5</v>
      </c>
      <c r="E10" s="7">
        <v>5</v>
      </c>
      <c r="F10" s="7">
        <v>5</v>
      </c>
      <c r="G10" s="22">
        <f t="shared" ref="G10:G29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R10" s="2" t="s">
        <v>48</v>
      </c>
    </row>
    <row r="11" spans="1:18" ht="18" customHeight="1" x14ac:dyDescent="0.3">
      <c r="A11" s="29">
        <v>3</v>
      </c>
      <c r="B11" s="124" t="s">
        <v>31</v>
      </c>
      <c r="C11" s="125"/>
      <c r="D11" s="28">
        <v>5</v>
      </c>
      <c r="E11" s="7">
        <v>5</v>
      </c>
      <c r="F11" s="7">
        <v>5</v>
      </c>
      <c r="G11" s="22">
        <f t="shared" si="0"/>
        <v>1</v>
      </c>
      <c r="H11" s="134"/>
      <c r="I11" s="134"/>
      <c r="J11" s="134"/>
      <c r="K11" s="134"/>
      <c r="R11" s="2" t="s">
        <v>121</v>
      </c>
    </row>
    <row r="12" spans="1:18" ht="18" customHeight="1" x14ac:dyDescent="0.3">
      <c r="A12" s="29">
        <v>4</v>
      </c>
      <c r="B12" s="124" t="s">
        <v>30</v>
      </c>
      <c r="C12" s="125"/>
      <c r="D12" s="28">
        <v>5</v>
      </c>
      <c r="E12" s="7">
        <v>5</v>
      </c>
      <c r="F12" s="7">
        <v>5</v>
      </c>
      <c r="G12" s="22">
        <f t="shared" si="0"/>
        <v>1</v>
      </c>
      <c r="H12" s="134"/>
      <c r="I12" s="134"/>
      <c r="J12" s="134"/>
      <c r="K12" s="134"/>
      <c r="R12" s="2" t="s">
        <v>13</v>
      </c>
    </row>
    <row r="13" spans="1:18" ht="18" customHeight="1" x14ac:dyDescent="0.3">
      <c r="A13" s="29">
        <v>5</v>
      </c>
      <c r="B13" s="124" t="s">
        <v>22</v>
      </c>
      <c r="C13" s="125"/>
      <c r="D13" s="28">
        <v>5</v>
      </c>
      <c r="E13" s="7">
        <v>5</v>
      </c>
      <c r="F13" s="7">
        <v>5</v>
      </c>
      <c r="G13" s="22">
        <f t="shared" si="0"/>
        <v>1</v>
      </c>
      <c r="H13" s="134"/>
      <c r="I13" s="134"/>
      <c r="J13" s="134"/>
      <c r="K13" s="134"/>
      <c r="R13" s="2" t="s">
        <v>47</v>
      </c>
    </row>
    <row r="14" spans="1:18" ht="18" customHeight="1" x14ac:dyDescent="0.3">
      <c r="A14" s="29">
        <v>6</v>
      </c>
      <c r="B14" s="126" t="s">
        <v>55</v>
      </c>
      <c r="C14" s="127"/>
      <c r="D14" s="28">
        <v>1</v>
      </c>
      <c r="E14" s="7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R14" s="2" t="s">
        <v>12</v>
      </c>
    </row>
    <row r="15" spans="1:18" ht="18" customHeight="1" x14ac:dyDescent="0.3">
      <c r="A15" s="117">
        <v>7</v>
      </c>
      <c r="B15" s="135" t="s">
        <v>24</v>
      </c>
      <c r="C15" s="136"/>
      <c r="D15" s="141">
        <v>5</v>
      </c>
      <c r="E15" s="144">
        <v>5</v>
      </c>
      <c r="F15" s="144">
        <v>5</v>
      </c>
      <c r="G15" s="128">
        <f>IF(D15="","",IF(D15=0,"-",IF(F15&gt;D15,"ERROR",IF(E15&gt;D15,"ERROR",IF(E15&lt;D15,0,IF(E15&gt;F15,0,IF(F15=D15,1,0)))))))</f>
        <v>1</v>
      </c>
      <c r="H15" s="51" t="s">
        <v>63</v>
      </c>
      <c r="I15" s="65"/>
      <c r="J15" s="51" t="s">
        <v>62</v>
      </c>
      <c r="K15" s="78"/>
      <c r="R15" s="2" t="s">
        <v>122</v>
      </c>
    </row>
    <row r="16" spans="1:18" ht="18" customHeight="1" x14ac:dyDescent="0.3">
      <c r="A16" s="118"/>
      <c r="B16" s="137"/>
      <c r="C16" s="138"/>
      <c r="D16" s="142"/>
      <c r="E16" s="145"/>
      <c r="F16" s="145"/>
      <c r="G16" s="129"/>
      <c r="H16" s="51" t="s">
        <v>64</v>
      </c>
      <c r="I16" s="62"/>
      <c r="J16" s="51" t="s">
        <v>62</v>
      </c>
      <c r="K16" s="78"/>
      <c r="M16" s="2"/>
      <c r="N16" s="2"/>
      <c r="R16" s="2" t="s">
        <v>123</v>
      </c>
    </row>
    <row r="17" spans="1:18" ht="18" customHeight="1" x14ac:dyDescent="0.3">
      <c r="A17" s="118"/>
      <c r="B17" s="137"/>
      <c r="C17" s="138"/>
      <c r="D17" s="142"/>
      <c r="E17" s="145"/>
      <c r="F17" s="145"/>
      <c r="G17" s="129"/>
      <c r="H17" s="51" t="s">
        <v>65</v>
      </c>
      <c r="I17" s="62"/>
      <c r="J17" s="51" t="s">
        <v>62</v>
      </c>
      <c r="K17" s="78"/>
      <c r="M17" s="2"/>
      <c r="N17" s="2"/>
      <c r="R17" s="2" t="s">
        <v>14</v>
      </c>
    </row>
    <row r="18" spans="1:18" ht="18" customHeight="1" x14ac:dyDescent="0.3">
      <c r="A18" s="118"/>
      <c r="B18" s="137"/>
      <c r="C18" s="138"/>
      <c r="D18" s="142"/>
      <c r="E18" s="145"/>
      <c r="F18" s="145"/>
      <c r="G18" s="129"/>
      <c r="H18" s="51" t="s">
        <v>66</v>
      </c>
      <c r="I18" s="73"/>
      <c r="J18" s="51" t="s">
        <v>62</v>
      </c>
      <c r="K18" s="78"/>
      <c r="M18" s="2"/>
      <c r="N18" s="2"/>
      <c r="R18" s="2" t="s">
        <v>6</v>
      </c>
    </row>
    <row r="19" spans="1:18" ht="18" customHeight="1" x14ac:dyDescent="0.3">
      <c r="A19" s="118"/>
      <c r="B19" s="137"/>
      <c r="C19" s="138"/>
      <c r="D19" s="142"/>
      <c r="E19" s="145"/>
      <c r="F19" s="145"/>
      <c r="G19" s="129"/>
      <c r="H19" s="51" t="s">
        <v>67</v>
      </c>
      <c r="I19" s="74"/>
      <c r="J19" s="51" t="s">
        <v>62</v>
      </c>
      <c r="K19" s="78"/>
      <c r="M19" s="2"/>
      <c r="N19" s="2"/>
      <c r="R19" s="2" t="s">
        <v>78</v>
      </c>
    </row>
    <row r="20" spans="1:18" ht="18" customHeight="1" x14ac:dyDescent="0.3">
      <c r="A20" s="118"/>
      <c r="B20" s="137"/>
      <c r="C20" s="138"/>
      <c r="D20" s="142"/>
      <c r="E20" s="145"/>
      <c r="F20" s="145"/>
      <c r="G20" s="129"/>
      <c r="H20" s="51" t="s">
        <v>68</v>
      </c>
      <c r="I20" s="62"/>
      <c r="J20" s="51" t="s">
        <v>62</v>
      </c>
      <c r="K20" s="78"/>
      <c r="M20" s="2"/>
      <c r="N20" s="2"/>
      <c r="R20" s="2" t="s">
        <v>7</v>
      </c>
    </row>
    <row r="21" spans="1:18" ht="18.75" customHeight="1" x14ac:dyDescent="0.3">
      <c r="A21" s="118"/>
      <c r="B21" s="137"/>
      <c r="C21" s="138"/>
      <c r="D21" s="142"/>
      <c r="E21" s="145"/>
      <c r="F21" s="145"/>
      <c r="G21" s="129"/>
      <c r="H21" s="51" t="s">
        <v>69</v>
      </c>
      <c r="I21" s="62"/>
      <c r="J21" s="51" t="s">
        <v>62</v>
      </c>
      <c r="K21" s="78"/>
      <c r="L21" s="4"/>
      <c r="M21" s="2"/>
      <c r="N21" s="2"/>
      <c r="R21" s="2" t="s">
        <v>124</v>
      </c>
    </row>
    <row r="22" spans="1:18" ht="18.75" customHeight="1" x14ac:dyDescent="0.3">
      <c r="A22" s="119"/>
      <c r="B22" s="139"/>
      <c r="C22" s="140"/>
      <c r="D22" s="143"/>
      <c r="E22" s="146"/>
      <c r="F22" s="146"/>
      <c r="G22" s="130"/>
      <c r="H22" s="131" t="s">
        <v>137</v>
      </c>
      <c r="I22" s="132"/>
      <c r="J22" s="132"/>
      <c r="K22" s="133"/>
      <c r="L22" s="4"/>
      <c r="M22" s="2"/>
      <c r="N22" s="2"/>
      <c r="R22" s="2" t="s">
        <v>125</v>
      </c>
    </row>
    <row r="23" spans="1:18" ht="18" customHeight="1" x14ac:dyDescent="0.3">
      <c r="A23" s="29">
        <v>8</v>
      </c>
      <c r="B23" s="126" t="s">
        <v>21</v>
      </c>
      <c r="C23" s="127"/>
      <c r="D23" s="28">
        <v>1</v>
      </c>
      <c r="E23" s="7">
        <v>1</v>
      </c>
      <c r="F23" s="7">
        <v>1</v>
      </c>
      <c r="G23" s="22">
        <f t="shared" si="0"/>
        <v>1</v>
      </c>
      <c r="H23" s="134"/>
      <c r="I23" s="134"/>
      <c r="J23" s="134"/>
      <c r="K23" s="134"/>
      <c r="M23" s="2"/>
      <c r="N23" s="2"/>
      <c r="R23" s="2" t="s">
        <v>126</v>
      </c>
    </row>
    <row r="24" spans="1:18" ht="18" customHeight="1" x14ac:dyDescent="0.3">
      <c r="A24" s="29">
        <v>9</v>
      </c>
      <c r="B24" s="126" t="s">
        <v>20</v>
      </c>
      <c r="C24" s="127"/>
      <c r="D24" s="28">
        <v>2</v>
      </c>
      <c r="E24" s="7">
        <v>2</v>
      </c>
      <c r="F24" s="7">
        <v>2</v>
      </c>
      <c r="G24" s="22">
        <f t="shared" si="0"/>
        <v>1</v>
      </c>
      <c r="H24" s="134"/>
      <c r="I24" s="134"/>
      <c r="J24" s="134"/>
      <c r="K24" s="134"/>
      <c r="M24" s="2"/>
      <c r="N24" s="2"/>
      <c r="R24" s="2" t="s">
        <v>127</v>
      </c>
    </row>
    <row r="25" spans="1:18" ht="18" customHeight="1" x14ac:dyDescent="0.3">
      <c r="A25" s="29">
        <v>10</v>
      </c>
      <c r="B25" s="124" t="s">
        <v>8</v>
      </c>
      <c r="C25" s="125"/>
      <c r="D25" s="28">
        <v>5</v>
      </c>
      <c r="E25" s="7">
        <v>5</v>
      </c>
      <c r="F25" s="7">
        <v>5</v>
      </c>
      <c r="G25" s="22">
        <f t="shared" si="0"/>
        <v>1</v>
      </c>
      <c r="H25" s="134"/>
      <c r="I25" s="134"/>
      <c r="J25" s="134"/>
      <c r="K25" s="134"/>
      <c r="M25" s="2"/>
      <c r="N25" s="2"/>
      <c r="R25" s="2" t="s">
        <v>128</v>
      </c>
    </row>
    <row r="26" spans="1:18" ht="18" customHeight="1" x14ac:dyDescent="0.3">
      <c r="A26" s="29">
        <v>11</v>
      </c>
      <c r="B26" s="122" t="s">
        <v>132</v>
      </c>
      <c r="C26" s="123"/>
      <c r="D26" s="28">
        <v>2</v>
      </c>
      <c r="E26" s="28">
        <v>2</v>
      </c>
      <c r="F26" s="28">
        <v>2</v>
      </c>
      <c r="G26" s="22">
        <f t="shared" si="0"/>
        <v>1</v>
      </c>
      <c r="H26" s="175"/>
      <c r="I26" s="176"/>
      <c r="J26" s="176"/>
      <c r="K26" s="177"/>
      <c r="M26" s="2"/>
      <c r="N26" s="2"/>
      <c r="R26" s="2" t="s">
        <v>129</v>
      </c>
    </row>
    <row r="27" spans="1:18" ht="18" customHeight="1" x14ac:dyDescent="0.3">
      <c r="A27" s="29">
        <v>12</v>
      </c>
      <c r="B27" s="120" t="s">
        <v>60</v>
      </c>
      <c r="C27" s="121"/>
      <c r="D27" s="28">
        <v>1</v>
      </c>
      <c r="E27" s="7">
        <v>1</v>
      </c>
      <c r="F27" s="7">
        <v>1</v>
      </c>
      <c r="G27" s="22">
        <f t="shared" si="0"/>
        <v>1</v>
      </c>
      <c r="H27" s="134"/>
      <c r="I27" s="134"/>
      <c r="J27" s="134"/>
      <c r="K27" s="134"/>
      <c r="R27" s="2" t="s">
        <v>130</v>
      </c>
    </row>
    <row r="28" spans="1:18" ht="18" customHeight="1" x14ac:dyDescent="0.3">
      <c r="A28" s="29">
        <v>13</v>
      </c>
      <c r="B28" s="195" t="s">
        <v>56</v>
      </c>
      <c r="C28" s="196"/>
      <c r="D28" s="80">
        <v>1</v>
      </c>
      <c r="E28" s="7">
        <v>1</v>
      </c>
      <c r="F28" s="7">
        <v>1</v>
      </c>
      <c r="G28" s="77">
        <f t="shared" si="0"/>
        <v>1</v>
      </c>
      <c r="H28" s="197"/>
      <c r="I28" s="197"/>
      <c r="J28" s="197"/>
      <c r="K28" s="197"/>
      <c r="R28" s="2" t="s">
        <v>134</v>
      </c>
    </row>
    <row r="29" spans="1:18" ht="18" customHeight="1" thickBot="1" x14ac:dyDescent="0.35">
      <c r="A29" s="29">
        <v>14</v>
      </c>
      <c r="B29" s="203" t="s">
        <v>70</v>
      </c>
      <c r="C29" s="204"/>
      <c r="D29" s="28">
        <v>5</v>
      </c>
      <c r="E29" s="7">
        <v>5</v>
      </c>
      <c r="F29" s="7">
        <v>5</v>
      </c>
      <c r="G29" s="22">
        <f t="shared" si="0"/>
        <v>1</v>
      </c>
      <c r="H29" s="134"/>
      <c r="I29" s="134"/>
      <c r="J29" s="134"/>
      <c r="K29" s="134"/>
    </row>
    <row r="30" spans="1:18" ht="19.5" customHeight="1" thickBot="1" x14ac:dyDescent="0.35">
      <c r="A30" s="198" t="s">
        <v>57</v>
      </c>
      <c r="B30" s="199"/>
      <c r="C30" s="199"/>
      <c r="D30" s="199"/>
      <c r="E30" s="199"/>
      <c r="F30" s="199"/>
      <c r="G30" s="200">
        <f>IFERROR(AVERAGE(G9:G28),"-")</f>
        <v>1</v>
      </c>
      <c r="H30" s="201"/>
      <c r="I30" s="201"/>
      <c r="J30" s="201"/>
      <c r="K30" s="202"/>
    </row>
    <row r="31" spans="1:18" ht="17.25" customHeight="1" x14ac:dyDescent="0.3">
      <c r="A31" s="34"/>
      <c r="E31" s="17"/>
      <c r="F31" s="35"/>
      <c r="G31" s="36"/>
      <c r="H31" s="25"/>
      <c r="I31" s="37"/>
      <c r="J31" s="23"/>
    </row>
    <row r="32" spans="1:18" ht="28.5" customHeight="1" x14ac:dyDescent="0.3">
      <c r="A32" s="193" t="s">
        <v>59</v>
      </c>
      <c r="B32" s="193"/>
      <c r="C32" s="194" t="s">
        <v>148</v>
      </c>
      <c r="D32" s="194"/>
      <c r="E32" s="38"/>
      <c r="F32" s="38"/>
      <c r="G32" s="24"/>
      <c r="H32" s="25"/>
      <c r="I32" s="26"/>
      <c r="J32" s="25"/>
    </row>
    <row r="33" spans="1:16" x14ac:dyDescent="0.3">
      <c r="A33" s="193" t="s">
        <v>61</v>
      </c>
      <c r="B33" s="193"/>
      <c r="C33" s="184" t="s">
        <v>89</v>
      </c>
      <c r="D33" s="185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92" t="s">
        <v>58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</row>
    <row r="36" spans="1:16" x14ac:dyDescent="0.3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17</v>
      </c>
      <c r="M39" s="21" t="s">
        <v>54</v>
      </c>
      <c r="N39" s="21" t="s">
        <v>53</v>
      </c>
      <c r="O39" s="42" t="s">
        <v>34</v>
      </c>
    </row>
    <row r="40" spans="1:16" ht="15.6" hidden="1" x14ac:dyDescent="0.3">
      <c r="K40" s="5" t="s">
        <v>10</v>
      </c>
      <c r="L40" s="8" t="s">
        <v>18</v>
      </c>
      <c r="M40" s="6">
        <v>0</v>
      </c>
      <c r="N40" s="44" t="s">
        <v>18</v>
      </c>
      <c r="O40" s="6" t="s">
        <v>35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19</v>
      </c>
      <c r="M41" s="15">
        <v>1</v>
      </c>
      <c r="N41" s="43" t="s">
        <v>19</v>
      </c>
      <c r="O41" s="6" t="s">
        <v>36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37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38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39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40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41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42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43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44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45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46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hidden="1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</sheetData>
  <sheetProtection selectLockedCells="1"/>
  <dataConsolidate/>
  <mergeCells count="49">
    <mergeCell ref="B26:C26"/>
    <mergeCell ref="H26:K26"/>
    <mergeCell ref="B10:C10"/>
    <mergeCell ref="H10:K10"/>
    <mergeCell ref="A1:B3"/>
    <mergeCell ref="C1:H3"/>
    <mergeCell ref="J1:K1"/>
    <mergeCell ref="J3:K3"/>
    <mergeCell ref="C5:G5"/>
    <mergeCell ref="I5:J5"/>
    <mergeCell ref="A7:K7"/>
    <mergeCell ref="B8:C8"/>
    <mergeCell ref="H8:K8"/>
    <mergeCell ref="B9:C9"/>
    <mergeCell ref="H9:K9"/>
    <mergeCell ref="B11:C11"/>
    <mergeCell ref="H11:K11"/>
    <mergeCell ref="B12:C12"/>
    <mergeCell ref="H12:K12"/>
    <mergeCell ref="B13:C13"/>
    <mergeCell ref="H13:K13"/>
    <mergeCell ref="B14:C14"/>
    <mergeCell ref="H14:K14"/>
    <mergeCell ref="A15:A22"/>
    <mergeCell ref="B15:C22"/>
    <mergeCell ref="D15:D22"/>
    <mergeCell ref="E15:E22"/>
    <mergeCell ref="F15:F22"/>
    <mergeCell ref="G15:G22"/>
    <mergeCell ref="H22:K22"/>
    <mergeCell ref="B23:C23"/>
    <mergeCell ref="H23:K23"/>
    <mergeCell ref="B24:C24"/>
    <mergeCell ref="H24:K24"/>
    <mergeCell ref="B25:C25"/>
    <mergeCell ref="H25:K25"/>
    <mergeCell ref="B27:C27"/>
    <mergeCell ref="H27:K27"/>
    <mergeCell ref="B28:C28"/>
    <mergeCell ref="H28:K28"/>
    <mergeCell ref="B29:C29"/>
    <mergeCell ref="H29:K29"/>
    <mergeCell ref="A35:K36"/>
    <mergeCell ref="A30:F30"/>
    <mergeCell ref="G30:K30"/>
    <mergeCell ref="A32:B32"/>
    <mergeCell ref="C32:D32"/>
    <mergeCell ref="A33:B33"/>
    <mergeCell ref="C33:D33"/>
  </mergeCells>
  <dataValidations count="4">
    <dataValidation type="list" allowBlank="1" showInputMessage="1" showErrorMessage="1" sqref="C5:G5" xr:uid="{00000000-0002-0000-1000-000000000000}">
      <formula1>$R$9:$R$28</formula1>
    </dataValidation>
    <dataValidation type="list" allowBlank="1" showInputMessage="1" showErrorMessage="1" sqref="D15 E9:F15 E23:F25 E27:F29" xr:uid="{00000000-0002-0000-1000-000001000000}">
      <formula1>$M$41:$M$55</formula1>
    </dataValidation>
    <dataValidation type="list" allowBlank="1" showInputMessage="1" showErrorMessage="1" sqref="D9" xr:uid="{00000000-0002-0000-1000-000002000000}">
      <formula1>$M$33:$M$48</formula1>
    </dataValidation>
    <dataValidation type="list" allowBlank="1" showInputMessage="1" showErrorMessage="1" sqref="D10:D14 D23:D25 D27:D29 D26:F26" xr:uid="{00000000-0002-0000-1000-000003000000}">
      <formula1>$M$33:$M$49</formula1>
    </dataValidation>
  </dataValidations>
  <pageMargins left="0.39370078740157483" right="0.39370078740157483" top="0.59055118110236227" bottom="0.59055118110236227" header="0.31496062992125984" footer="0.31496062992125984"/>
  <pageSetup scale="67" orientation="portrait" r:id="rId1"/>
  <headerFooter>
    <oddFooter>&amp;RPág. &amp;P - 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61"/>
  <sheetViews>
    <sheetView view="pageBreakPreview" topLeftCell="A10" zoomScale="90" zoomScaleNormal="100" zoomScaleSheetLayoutView="90" workbookViewId="0">
      <selection activeCell="C32" sqref="C32:D32"/>
    </sheetView>
  </sheetViews>
  <sheetFormatPr baseColWidth="10" defaultColWidth="11.44140625" defaultRowHeight="14.4" x14ac:dyDescent="0.3"/>
  <cols>
    <col min="1" max="1" width="4.109375" style="2" customWidth="1" collapsed="1"/>
    <col min="2" max="2" width="17.88671875" style="2" customWidth="1" collapsed="1"/>
    <col min="3" max="3" width="23.55468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3.33203125" style="2" customWidth="1" collapsed="1"/>
    <col min="12" max="12" width="14.44140625" style="2" customWidth="1" collapsed="1"/>
    <col min="13" max="14" width="11.44140625" style="6" customWidth="1" collapsed="1"/>
    <col min="15" max="16" width="11.44140625" style="2" customWidth="1" collapsed="1"/>
    <col min="17" max="17" width="0" style="2" hidden="1" customWidth="1" collapsed="1"/>
    <col min="18" max="16384" width="11.44140625" style="2" collapsed="1"/>
  </cols>
  <sheetData>
    <row r="1" spans="1:17" ht="15" customHeight="1" x14ac:dyDescent="0.3">
      <c r="A1" s="149"/>
      <c r="B1" s="149"/>
      <c r="C1" s="156" t="s">
        <v>16</v>
      </c>
      <c r="D1" s="157"/>
      <c r="E1" s="157"/>
      <c r="F1" s="157"/>
      <c r="G1" s="157"/>
      <c r="H1" s="158"/>
      <c r="I1" s="30" t="s">
        <v>25</v>
      </c>
      <c r="J1" s="210" t="s">
        <v>49</v>
      </c>
      <c r="K1" s="211"/>
    </row>
    <row r="2" spans="1:17" ht="20.2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17" x14ac:dyDescent="0.3">
      <c r="A3" s="149"/>
      <c r="B3" s="149"/>
      <c r="C3" s="162"/>
      <c r="D3" s="163"/>
      <c r="E3" s="163"/>
      <c r="F3" s="163"/>
      <c r="G3" s="163"/>
      <c r="H3" s="164"/>
      <c r="I3" s="30" t="s">
        <v>27</v>
      </c>
      <c r="J3" s="154">
        <v>42286</v>
      </c>
      <c r="K3" s="155"/>
    </row>
    <row r="4" spans="1:17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7" ht="15.75" customHeight="1" x14ac:dyDescent="0.3">
      <c r="A5" s="3"/>
      <c r="B5" s="13" t="s">
        <v>32</v>
      </c>
      <c r="C5" s="150" t="s">
        <v>127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17" ht="15.75" customHeight="1" x14ac:dyDescent="0.3">
      <c r="A6" s="18"/>
      <c r="E6" s="19"/>
      <c r="F6" s="19"/>
      <c r="G6" s="11"/>
    </row>
    <row r="7" spans="1:17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7" ht="28.8" x14ac:dyDescent="0.3">
      <c r="A8" s="87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17" ht="18" customHeight="1" x14ac:dyDescent="0.3">
      <c r="A9" s="29">
        <v>1</v>
      </c>
      <c r="B9" s="124" t="s">
        <v>29</v>
      </c>
      <c r="C9" s="125"/>
      <c r="D9" s="28">
        <v>3</v>
      </c>
      <c r="E9" s="7">
        <v>3</v>
      </c>
      <c r="F9" s="7">
        <v>3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  <c r="Q9" s="2" t="s">
        <v>2</v>
      </c>
    </row>
    <row r="10" spans="1:17" ht="18" customHeight="1" x14ac:dyDescent="0.3">
      <c r="A10" s="29">
        <v>2</v>
      </c>
      <c r="B10" s="124" t="s">
        <v>28</v>
      </c>
      <c r="C10" s="125"/>
      <c r="D10" s="28">
        <v>3</v>
      </c>
      <c r="E10" s="7">
        <v>3</v>
      </c>
      <c r="F10" s="7">
        <v>3</v>
      </c>
      <c r="G10" s="22">
        <f t="shared" ref="G10:G29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Q10" s="2" t="s">
        <v>48</v>
      </c>
    </row>
    <row r="11" spans="1:17" ht="18" customHeight="1" x14ac:dyDescent="0.3">
      <c r="A11" s="29">
        <v>3</v>
      </c>
      <c r="B11" s="124" t="s">
        <v>31</v>
      </c>
      <c r="C11" s="125"/>
      <c r="D11" s="28">
        <v>3</v>
      </c>
      <c r="E11" s="7">
        <v>3</v>
      </c>
      <c r="F11" s="7">
        <v>3</v>
      </c>
      <c r="G11" s="22">
        <f t="shared" si="0"/>
        <v>1</v>
      </c>
      <c r="H11" s="134"/>
      <c r="I11" s="134"/>
      <c r="J11" s="134"/>
      <c r="K11" s="134"/>
      <c r="Q11" s="2" t="s">
        <v>121</v>
      </c>
    </row>
    <row r="12" spans="1:17" ht="18" customHeight="1" x14ac:dyDescent="0.3">
      <c r="A12" s="29">
        <v>4</v>
      </c>
      <c r="B12" s="124" t="s">
        <v>30</v>
      </c>
      <c r="C12" s="125"/>
      <c r="D12" s="28">
        <v>3</v>
      </c>
      <c r="E12" s="7">
        <v>3</v>
      </c>
      <c r="F12" s="7">
        <v>3</v>
      </c>
      <c r="G12" s="22">
        <f t="shared" si="0"/>
        <v>1</v>
      </c>
      <c r="H12" s="134"/>
      <c r="I12" s="134"/>
      <c r="J12" s="134"/>
      <c r="K12" s="134"/>
      <c r="Q12" s="2" t="s">
        <v>13</v>
      </c>
    </row>
    <row r="13" spans="1:17" ht="18" customHeight="1" x14ac:dyDescent="0.3">
      <c r="A13" s="29">
        <v>5</v>
      </c>
      <c r="B13" s="124" t="s">
        <v>22</v>
      </c>
      <c r="C13" s="125"/>
      <c r="D13" s="28">
        <v>3</v>
      </c>
      <c r="E13" s="7">
        <v>3</v>
      </c>
      <c r="F13" s="7">
        <v>3</v>
      </c>
      <c r="G13" s="22">
        <f t="shared" si="0"/>
        <v>1</v>
      </c>
      <c r="H13" s="134"/>
      <c r="I13" s="134"/>
      <c r="J13" s="134"/>
      <c r="K13" s="134"/>
      <c r="Q13" s="2" t="s">
        <v>47</v>
      </c>
    </row>
    <row r="14" spans="1:17" ht="18" customHeight="1" x14ac:dyDescent="0.3">
      <c r="A14" s="29">
        <v>6</v>
      </c>
      <c r="B14" s="126" t="s">
        <v>55</v>
      </c>
      <c r="C14" s="127"/>
      <c r="D14" s="28">
        <v>1</v>
      </c>
      <c r="E14" s="7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Q14" s="2" t="s">
        <v>12</v>
      </c>
    </row>
    <row r="15" spans="1:17" ht="18" customHeight="1" x14ac:dyDescent="0.3">
      <c r="A15" s="117">
        <v>7</v>
      </c>
      <c r="B15" s="135" t="s">
        <v>24</v>
      </c>
      <c r="C15" s="136"/>
      <c r="D15" s="141">
        <v>2</v>
      </c>
      <c r="E15" s="144">
        <v>2</v>
      </c>
      <c r="F15" s="144">
        <v>2</v>
      </c>
      <c r="G15" s="128">
        <f>IF(D15="","",IF(D15=0,"-",IF(F15&gt;D15,"ERROR",IF(E15&gt;D15,"ERROR",IF(E15&lt;D15,0,IF(E15&gt;F15,0,IF(F15=D15,1,0)))))))</f>
        <v>1</v>
      </c>
      <c r="H15" s="51" t="s">
        <v>63</v>
      </c>
      <c r="I15" s="65"/>
      <c r="J15" s="51" t="s">
        <v>62</v>
      </c>
      <c r="K15" s="86"/>
      <c r="Q15" s="2" t="s">
        <v>122</v>
      </c>
    </row>
    <row r="16" spans="1:17" ht="18" customHeight="1" x14ac:dyDescent="0.3">
      <c r="A16" s="118"/>
      <c r="B16" s="137"/>
      <c r="C16" s="138"/>
      <c r="D16" s="142"/>
      <c r="E16" s="145"/>
      <c r="F16" s="145"/>
      <c r="G16" s="129"/>
      <c r="H16" s="51" t="s">
        <v>64</v>
      </c>
      <c r="I16" s="62"/>
      <c r="J16" s="51" t="s">
        <v>62</v>
      </c>
      <c r="K16" s="86"/>
      <c r="M16" s="2"/>
      <c r="N16" s="2"/>
      <c r="Q16" s="2" t="s">
        <v>123</v>
      </c>
    </row>
    <row r="17" spans="1:17" ht="18" customHeight="1" x14ac:dyDescent="0.3">
      <c r="A17" s="118"/>
      <c r="B17" s="137"/>
      <c r="C17" s="138"/>
      <c r="D17" s="142"/>
      <c r="E17" s="145"/>
      <c r="F17" s="145"/>
      <c r="G17" s="129"/>
      <c r="H17" s="51" t="s">
        <v>65</v>
      </c>
      <c r="I17" s="62"/>
      <c r="J17" s="51" t="s">
        <v>62</v>
      </c>
      <c r="K17" s="86"/>
      <c r="M17" s="2"/>
      <c r="N17" s="2"/>
      <c r="Q17" s="2" t="s">
        <v>14</v>
      </c>
    </row>
    <row r="18" spans="1:17" ht="18" customHeight="1" x14ac:dyDescent="0.3">
      <c r="A18" s="118"/>
      <c r="B18" s="137"/>
      <c r="C18" s="138"/>
      <c r="D18" s="142"/>
      <c r="E18" s="145"/>
      <c r="F18" s="145"/>
      <c r="G18" s="129"/>
      <c r="H18" s="51" t="s">
        <v>66</v>
      </c>
      <c r="I18" s="73"/>
      <c r="J18" s="51" t="s">
        <v>62</v>
      </c>
      <c r="K18" s="86"/>
      <c r="M18" s="2"/>
      <c r="N18" s="2"/>
      <c r="Q18" s="2" t="s">
        <v>6</v>
      </c>
    </row>
    <row r="19" spans="1:17" ht="18" customHeight="1" x14ac:dyDescent="0.3">
      <c r="A19" s="118"/>
      <c r="B19" s="137"/>
      <c r="C19" s="138"/>
      <c r="D19" s="142"/>
      <c r="E19" s="145"/>
      <c r="F19" s="145"/>
      <c r="G19" s="129"/>
      <c r="H19" s="51" t="s">
        <v>67</v>
      </c>
      <c r="I19" s="74"/>
      <c r="J19" s="51" t="s">
        <v>62</v>
      </c>
      <c r="K19" s="86"/>
      <c r="M19" s="2"/>
      <c r="N19" s="2"/>
      <c r="Q19" s="2" t="s">
        <v>78</v>
      </c>
    </row>
    <row r="20" spans="1:17" ht="18" customHeight="1" x14ac:dyDescent="0.3">
      <c r="A20" s="118"/>
      <c r="B20" s="137"/>
      <c r="C20" s="138"/>
      <c r="D20" s="142"/>
      <c r="E20" s="145"/>
      <c r="F20" s="145"/>
      <c r="G20" s="129"/>
      <c r="H20" s="51" t="s">
        <v>68</v>
      </c>
      <c r="I20" s="62"/>
      <c r="J20" s="51" t="s">
        <v>62</v>
      </c>
      <c r="K20" s="86"/>
      <c r="M20" s="2"/>
      <c r="N20" s="2"/>
      <c r="Q20" s="2" t="s">
        <v>7</v>
      </c>
    </row>
    <row r="21" spans="1:17" ht="18.75" customHeight="1" x14ac:dyDescent="0.3">
      <c r="A21" s="118"/>
      <c r="B21" s="137"/>
      <c r="C21" s="138"/>
      <c r="D21" s="142"/>
      <c r="E21" s="145"/>
      <c r="F21" s="145"/>
      <c r="G21" s="129"/>
      <c r="H21" s="51" t="s">
        <v>69</v>
      </c>
      <c r="I21" s="62"/>
      <c r="J21" s="51" t="s">
        <v>62</v>
      </c>
      <c r="K21" s="86"/>
      <c r="L21" s="4"/>
      <c r="M21" s="2"/>
      <c r="N21" s="2"/>
      <c r="Q21" s="2" t="s">
        <v>124</v>
      </c>
    </row>
    <row r="22" spans="1:17" ht="18.75" customHeight="1" x14ac:dyDescent="0.3">
      <c r="A22" s="119"/>
      <c r="B22" s="139"/>
      <c r="C22" s="140"/>
      <c r="D22" s="143"/>
      <c r="E22" s="146"/>
      <c r="F22" s="146"/>
      <c r="G22" s="130"/>
      <c r="H22" s="131"/>
      <c r="I22" s="132"/>
      <c r="J22" s="132"/>
      <c r="K22" s="133"/>
      <c r="L22" s="4"/>
      <c r="M22" s="2"/>
      <c r="N22" s="2"/>
      <c r="Q22" s="2" t="s">
        <v>125</v>
      </c>
    </row>
    <row r="23" spans="1:17" ht="18" customHeight="1" x14ac:dyDescent="0.3">
      <c r="A23" s="29">
        <v>8</v>
      </c>
      <c r="B23" s="126" t="s">
        <v>21</v>
      </c>
      <c r="C23" s="127"/>
      <c r="D23" s="28">
        <v>1</v>
      </c>
      <c r="E23" s="7">
        <v>1</v>
      </c>
      <c r="F23" s="7">
        <v>1</v>
      </c>
      <c r="G23" s="22">
        <f t="shared" si="0"/>
        <v>1</v>
      </c>
      <c r="H23" s="134"/>
      <c r="I23" s="134"/>
      <c r="J23" s="134"/>
      <c r="K23" s="134"/>
      <c r="M23" s="2"/>
      <c r="N23" s="2"/>
      <c r="Q23" s="2" t="s">
        <v>126</v>
      </c>
    </row>
    <row r="24" spans="1:17" ht="18" customHeight="1" x14ac:dyDescent="0.3">
      <c r="A24" s="29">
        <v>9</v>
      </c>
      <c r="B24" s="126" t="s">
        <v>20</v>
      </c>
      <c r="C24" s="127"/>
      <c r="D24" s="28">
        <v>2</v>
      </c>
      <c r="E24" s="7">
        <v>2</v>
      </c>
      <c r="F24" s="7">
        <v>2</v>
      </c>
      <c r="G24" s="22">
        <f t="shared" si="0"/>
        <v>1</v>
      </c>
      <c r="H24" s="134"/>
      <c r="I24" s="134"/>
      <c r="J24" s="134"/>
      <c r="K24" s="134"/>
      <c r="M24" s="2"/>
      <c r="N24" s="2"/>
      <c r="Q24" s="2" t="s">
        <v>127</v>
      </c>
    </row>
    <row r="25" spans="1:17" ht="18" customHeight="1" x14ac:dyDescent="0.3">
      <c r="A25" s="29">
        <v>10</v>
      </c>
      <c r="B25" s="124" t="s">
        <v>8</v>
      </c>
      <c r="C25" s="125"/>
      <c r="D25" s="28">
        <v>3</v>
      </c>
      <c r="E25" s="7">
        <v>3</v>
      </c>
      <c r="F25" s="7">
        <v>3</v>
      </c>
      <c r="G25" s="22">
        <f t="shared" si="0"/>
        <v>1</v>
      </c>
      <c r="H25" s="134"/>
      <c r="I25" s="134"/>
      <c r="J25" s="134"/>
      <c r="K25" s="134"/>
      <c r="M25" s="2"/>
      <c r="N25" s="2"/>
      <c r="Q25" s="2" t="s">
        <v>128</v>
      </c>
    </row>
    <row r="26" spans="1:17" ht="18" customHeight="1" x14ac:dyDescent="0.3">
      <c r="A26" s="29">
        <v>11</v>
      </c>
      <c r="B26" s="122" t="s">
        <v>132</v>
      </c>
      <c r="C26" s="123"/>
      <c r="D26" s="28">
        <v>1</v>
      </c>
      <c r="E26" s="28">
        <v>1</v>
      </c>
      <c r="F26" s="28">
        <v>1</v>
      </c>
      <c r="G26" s="22">
        <f t="shared" si="0"/>
        <v>1</v>
      </c>
      <c r="H26" s="175"/>
      <c r="I26" s="176"/>
      <c r="J26" s="176"/>
      <c r="K26" s="177"/>
      <c r="M26" s="2"/>
      <c r="N26" s="2"/>
      <c r="Q26" s="2" t="s">
        <v>129</v>
      </c>
    </row>
    <row r="27" spans="1:17" ht="18" customHeight="1" x14ac:dyDescent="0.3">
      <c r="A27" s="29">
        <v>12</v>
      </c>
      <c r="B27" s="120" t="s">
        <v>60</v>
      </c>
      <c r="C27" s="121"/>
      <c r="D27" s="28">
        <v>1</v>
      </c>
      <c r="E27" s="7">
        <v>1</v>
      </c>
      <c r="F27" s="7">
        <v>1</v>
      </c>
      <c r="G27" s="22">
        <f t="shared" si="0"/>
        <v>1</v>
      </c>
      <c r="H27" s="134"/>
      <c r="I27" s="134"/>
      <c r="J27" s="134"/>
      <c r="K27" s="134"/>
      <c r="Q27" s="2" t="s">
        <v>130</v>
      </c>
    </row>
    <row r="28" spans="1:17" ht="18" customHeight="1" x14ac:dyDescent="0.3">
      <c r="A28" s="29">
        <v>13</v>
      </c>
      <c r="B28" s="195" t="s">
        <v>56</v>
      </c>
      <c r="C28" s="196"/>
      <c r="D28" s="89">
        <v>1</v>
      </c>
      <c r="E28" s="7">
        <v>1</v>
      </c>
      <c r="F28" s="7">
        <v>1</v>
      </c>
      <c r="G28" s="88">
        <f t="shared" si="0"/>
        <v>1</v>
      </c>
      <c r="H28" s="197"/>
      <c r="I28" s="197"/>
      <c r="J28" s="197"/>
      <c r="K28" s="197"/>
    </row>
    <row r="29" spans="1:17" ht="18" customHeight="1" thickBot="1" x14ac:dyDescent="0.35">
      <c r="A29" s="29">
        <v>14</v>
      </c>
      <c r="B29" s="203" t="s">
        <v>70</v>
      </c>
      <c r="C29" s="204"/>
      <c r="D29" s="28">
        <v>2</v>
      </c>
      <c r="E29" s="7">
        <v>2</v>
      </c>
      <c r="F29" s="7">
        <v>2</v>
      </c>
      <c r="G29" s="22">
        <f t="shared" si="0"/>
        <v>1</v>
      </c>
      <c r="H29" s="134"/>
      <c r="I29" s="134"/>
      <c r="J29" s="134"/>
      <c r="K29" s="134"/>
    </row>
    <row r="30" spans="1:17" ht="19.5" customHeight="1" thickBot="1" x14ac:dyDescent="0.35">
      <c r="A30" s="198" t="s">
        <v>57</v>
      </c>
      <c r="B30" s="199"/>
      <c r="C30" s="199"/>
      <c r="D30" s="199"/>
      <c r="E30" s="199"/>
      <c r="F30" s="199"/>
      <c r="G30" s="200">
        <f>IFERROR(AVERAGE(G9:G28),"-")</f>
        <v>1</v>
      </c>
      <c r="H30" s="201"/>
      <c r="I30" s="201"/>
      <c r="J30" s="201"/>
      <c r="K30" s="202"/>
    </row>
    <row r="31" spans="1:17" ht="17.25" customHeight="1" x14ac:dyDescent="0.3">
      <c r="A31" s="34"/>
      <c r="E31" s="17"/>
      <c r="F31" s="35"/>
      <c r="G31" s="36"/>
      <c r="H31" s="25"/>
      <c r="I31" s="37"/>
      <c r="J31" s="23"/>
    </row>
    <row r="32" spans="1:17" ht="28.5" customHeight="1" x14ac:dyDescent="0.3">
      <c r="A32" s="193" t="s">
        <v>59</v>
      </c>
      <c r="B32" s="193"/>
      <c r="C32" s="194" t="s">
        <v>162</v>
      </c>
      <c r="D32" s="194"/>
      <c r="E32" s="38"/>
      <c r="F32" s="38"/>
      <c r="G32" s="24"/>
      <c r="H32" s="25"/>
      <c r="I32" s="26"/>
      <c r="J32" s="25"/>
    </row>
    <row r="33" spans="1:16" x14ac:dyDescent="0.3">
      <c r="A33" s="193" t="s">
        <v>61</v>
      </c>
      <c r="B33" s="193"/>
      <c r="C33" s="184" t="s">
        <v>89</v>
      </c>
      <c r="D33" s="185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92" t="s">
        <v>58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</row>
    <row r="36" spans="1:16" x14ac:dyDescent="0.3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17</v>
      </c>
      <c r="M39" s="21" t="s">
        <v>54</v>
      </c>
      <c r="N39" s="21" t="s">
        <v>53</v>
      </c>
      <c r="O39" s="42" t="s">
        <v>34</v>
      </c>
    </row>
    <row r="40" spans="1:16" ht="15.6" hidden="1" x14ac:dyDescent="0.3">
      <c r="K40" s="5" t="s">
        <v>10</v>
      </c>
      <c r="L40" s="8" t="s">
        <v>18</v>
      </c>
      <c r="M40" s="6">
        <v>0</v>
      </c>
      <c r="N40" s="44" t="s">
        <v>18</v>
      </c>
      <c r="O40" s="6" t="s">
        <v>35</v>
      </c>
      <c r="P40" s="10"/>
    </row>
    <row r="41" spans="1:16" hidden="1" x14ac:dyDescent="0.3">
      <c r="K41" s="81" t="str">
        <f>IF(MAESTRO!A1="","",MAESTRO!A1)</f>
        <v>******SUCURSALES</v>
      </c>
      <c r="L41" s="43" t="s">
        <v>19</v>
      </c>
      <c r="M41" s="15">
        <v>1</v>
      </c>
      <c r="N41" s="43" t="s">
        <v>19</v>
      </c>
      <c r="O41" s="6" t="s">
        <v>36</v>
      </c>
    </row>
    <row r="42" spans="1:16" hidden="1" x14ac:dyDescent="0.3">
      <c r="K42" s="81" t="str">
        <f>IF(MAESTRO!A2="","",MAESTRO!A2)</f>
        <v>LA CASA DE LA CAÑA, C.A. (T. ALTERNA)</v>
      </c>
      <c r="M42" s="16">
        <v>2</v>
      </c>
      <c r="N42" s="16"/>
      <c r="O42" s="6" t="s">
        <v>37</v>
      </c>
    </row>
    <row r="43" spans="1:16" hidden="1" x14ac:dyDescent="0.3">
      <c r="K43" s="81" t="str">
        <f>IF(MAESTRO!A3="","",MAESTRO!A3)</f>
        <v>LA CASA DE LA CAÑA, C.A. (T. ANACO)</v>
      </c>
      <c r="M43" s="16">
        <v>3</v>
      </c>
      <c r="N43" s="16"/>
      <c r="O43" s="6" t="s">
        <v>38</v>
      </c>
    </row>
    <row r="44" spans="1:16" hidden="1" x14ac:dyDescent="0.3">
      <c r="K44" s="81" t="str">
        <f>IF(MAESTRO!A4="","",MAESTRO!A4)</f>
        <v>LA CASA DE LA CAÑA, C.A. (T. CUMANÁ)</v>
      </c>
      <c r="L44" s="81"/>
      <c r="M44" s="16">
        <v>4</v>
      </c>
      <c r="N44" s="15"/>
      <c r="O44" s="6" t="s">
        <v>39</v>
      </c>
    </row>
    <row r="45" spans="1:16" hidden="1" x14ac:dyDescent="0.3">
      <c r="K45" s="81" t="str">
        <f>IF(MAESTRO!A5="","",MAESTRO!A5)</f>
        <v>LA CASA DE LA CAÑA, C.A. (T. MATURÍN I)</v>
      </c>
      <c r="L45" s="81"/>
      <c r="M45" s="15">
        <v>5</v>
      </c>
      <c r="N45" s="15"/>
      <c r="O45" s="6" t="s">
        <v>40</v>
      </c>
    </row>
    <row r="46" spans="1:16" hidden="1" x14ac:dyDescent="0.3">
      <c r="K46" s="81" t="str">
        <f>IF(MAESTRO!A6="","",MAESTRO!A6)</f>
        <v>LA CASA DE LA CAÑA, C.A. (T. MATURÍN II)</v>
      </c>
      <c r="L46" s="81"/>
      <c r="M46" s="15">
        <v>6</v>
      </c>
      <c r="N46" s="15"/>
      <c r="O46" s="6" t="s">
        <v>41</v>
      </c>
    </row>
    <row r="47" spans="1:16" hidden="1" x14ac:dyDescent="0.3">
      <c r="K47" s="81" t="str">
        <f>IF(MAESTRO!A7="","",MAESTRO!A7)</f>
        <v>LA CASA DE LA CAÑA, C.A. (T. NVA. BARCELONA)</v>
      </c>
      <c r="L47" s="81"/>
      <c r="M47" s="15">
        <v>7</v>
      </c>
      <c r="N47" s="15"/>
      <c r="O47" s="6" t="s">
        <v>42</v>
      </c>
    </row>
    <row r="48" spans="1:16" hidden="1" x14ac:dyDescent="0.3">
      <c r="K48" s="81" t="str">
        <f>IF(MAESTRO!A8="","",MAESTRO!A8)</f>
        <v>INVERSIONES CAÑANDONGA,C.A (T. CONEJERO)</v>
      </c>
      <c r="L48" s="81"/>
      <c r="M48" s="15">
        <v>8</v>
      </c>
      <c r="N48" s="15"/>
      <c r="O48" s="6" t="s">
        <v>43</v>
      </c>
    </row>
    <row r="49" spans="5:15" hidden="1" x14ac:dyDescent="0.3">
      <c r="E49" s="2"/>
      <c r="F49" s="2"/>
      <c r="G49" s="2"/>
      <c r="K49" s="81" t="str">
        <f>IF(MAESTRO!A9="","",MAESTRO!A9)</f>
        <v>OPERADORA EL MERCADO 2011, C.A. (T. MERCADO)</v>
      </c>
      <c r="L49" s="81"/>
      <c r="M49" s="15">
        <v>9</v>
      </c>
      <c r="N49" s="15"/>
      <c r="O49" s="6" t="s">
        <v>44</v>
      </c>
    </row>
    <row r="50" spans="5:15" hidden="1" x14ac:dyDescent="0.3">
      <c r="E50" s="2"/>
      <c r="F50" s="2"/>
      <c r="G50" s="2"/>
      <c r="K50" s="81" t="str">
        <f>IF(MAESTRO!A10="","",MAESTRO!A10)</f>
        <v>OPERADORA EL PUENTE 2011, C.A. (T. PUENTE REAL)</v>
      </c>
      <c r="L50" s="81"/>
      <c r="M50" s="15">
        <v>10</v>
      </c>
      <c r="N50" s="15"/>
      <c r="O50" s="6" t="s">
        <v>45</v>
      </c>
    </row>
    <row r="51" spans="5:15" hidden="1" x14ac:dyDescent="0.3">
      <c r="E51" s="2"/>
      <c r="F51" s="2"/>
      <c r="G51" s="2"/>
      <c r="K51" s="81" t="str">
        <f>IF(MAESTRO!A11="","",MAESTRO!A11)</f>
        <v>OPERADORA LECHERÍA 2011, C.A. (T. LECHERÍA)</v>
      </c>
      <c r="L51" s="81"/>
      <c r="M51" s="15">
        <v>11</v>
      </c>
      <c r="N51" s="15"/>
      <c r="O51" s="6" t="s">
        <v>46</v>
      </c>
    </row>
    <row r="52" spans="5:15" hidden="1" x14ac:dyDescent="0.3">
      <c r="E52" s="2"/>
      <c r="F52" s="2"/>
      <c r="G52" s="2"/>
      <c r="K52" s="81" t="str">
        <f>IF(MAESTRO!A12="","",MAESTRO!A12)</f>
        <v>OPERADORA PUERTO LA CRUZ 2011, C.A. (T. PUERTO LA CRUZ)</v>
      </c>
      <c r="L52" s="81"/>
      <c r="M52" s="15">
        <v>12</v>
      </c>
      <c r="N52" s="15"/>
      <c r="O52" s="6"/>
    </row>
    <row r="53" spans="5:15" hidden="1" x14ac:dyDescent="0.3">
      <c r="E53" s="2"/>
      <c r="F53" s="2"/>
      <c r="G53" s="2"/>
      <c r="K53" s="81" t="str">
        <f>IF(MAESTRO!A13="","",MAESTRO!A13)</f>
        <v>OPERADORA PUERTO ORDAZ 2013, C.A.(T. PUERTO ORDAZ)</v>
      </c>
      <c r="L53" s="81"/>
      <c r="M53" s="15">
        <v>13</v>
      </c>
      <c r="N53" s="15"/>
      <c r="O53" s="6"/>
    </row>
    <row r="54" spans="5:15" hidden="1" x14ac:dyDescent="0.3">
      <c r="E54" s="2"/>
      <c r="F54" s="2"/>
      <c r="G54" s="2"/>
      <c r="K54" s="81" t="str">
        <f>IF(MAESTRO!A14="","",MAESTRO!A14)</f>
        <v>OPERADORA LAS AMERICAS, C.A</v>
      </c>
      <c r="L54" s="81"/>
      <c r="M54" s="15">
        <v>14</v>
      </c>
      <c r="N54" s="15"/>
      <c r="O54" s="6"/>
    </row>
    <row r="55" spans="5:15" hidden="1" x14ac:dyDescent="0.3">
      <c r="E55" s="2"/>
      <c r="F55" s="2"/>
      <c r="G55" s="2"/>
      <c r="K55" s="8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81" t="str">
        <f>IF(MAESTRO!A16="","",MAESTRO!A16)</f>
        <v>RELIVE, C.A. (T. CHUPARÍN)</v>
      </c>
    </row>
    <row r="57" spans="5:15" hidden="1" x14ac:dyDescent="0.3">
      <c r="K57" s="81" t="str">
        <f>IF(MAESTRO!A17="","",MAESTRO!A17)</f>
        <v>RELIVE, C.A. (T. TERRAZAS)</v>
      </c>
    </row>
    <row r="58" spans="5:15" hidden="1" x14ac:dyDescent="0.3">
      <c r="K58" s="81" t="str">
        <f>IF(MAESTRO!A18="","",MAESTRO!A18)</f>
        <v>RELIVE, C.A. (T. TIGRE II)</v>
      </c>
    </row>
    <row r="59" spans="5:15" hidden="1" x14ac:dyDescent="0.3">
      <c r="K59" s="81" t="str">
        <f>IF(MAESTRO!A19="","",MAESTRO!A19)</f>
        <v>RELIVE, C.A. (T. TIGRE III)</v>
      </c>
    </row>
    <row r="60" spans="5:15" x14ac:dyDescent="0.3">
      <c r="K60" s="81" t="str">
        <f>IF(MAESTRO!A20="","",MAESTRO!A20)</f>
        <v/>
      </c>
    </row>
    <row r="61" spans="5:15" x14ac:dyDescent="0.3">
      <c r="K61" s="81" t="str">
        <f>IF(MAESTRO!A21="","",MAESTRO!A21)</f>
        <v/>
      </c>
    </row>
  </sheetData>
  <sheetProtection selectLockedCells="1"/>
  <dataConsolidate/>
  <mergeCells count="49">
    <mergeCell ref="A33:B33"/>
    <mergeCell ref="C33:D33"/>
    <mergeCell ref="A35:K36"/>
    <mergeCell ref="B29:C29"/>
    <mergeCell ref="H29:K29"/>
    <mergeCell ref="A30:F30"/>
    <mergeCell ref="G30:K30"/>
    <mergeCell ref="A32:B32"/>
    <mergeCell ref="C32:D32"/>
    <mergeCell ref="B26:C26"/>
    <mergeCell ref="H26:K26"/>
    <mergeCell ref="B27:C27"/>
    <mergeCell ref="H27:K27"/>
    <mergeCell ref="B28:C28"/>
    <mergeCell ref="H28:K28"/>
    <mergeCell ref="B23:C23"/>
    <mergeCell ref="H23:K23"/>
    <mergeCell ref="B24:C24"/>
    <mergeCell ref="H24:K24"/>
    <mergeCell ref="B25:C25"/>
    <mergeCell ref="H25:K25"/>
    <mergeCell ref="B14:C14"/>
    <mergeCell ref="H14:K14"/>
    <mergeCell ref="A15:A22"/>
    <mergeCell ref="B15:C22"/>
    <mergeCell ref="D15:D22"/>
    <mergeCell ref="E15:E22"/>
    <mergeCell ref="F15:F22"/>
    <mergeCell ref="G15:G22"/>
    <mergeCell ref="H22:K22"/>
    <mergeCell ref="B11:C11"/>
    <mergeCell ref="H11:K11"/>
    <mergeCell ref="B12:C12"/>
    <mergeCell ref="H12:K12"/>
    <mergeCell ref="B13:C13"/>
    <mergeCell ref="H13:K13"/>
    <mergeCell ref="B10:C10"/>
    <mergeCell ref="H10:K10"/>
    <mergeCell ref="A1:B3"/>
    <mergeCell ref="C1:H3"/>
    <mergeCell ref="J1:K1"/>
    <mergeCell ref="J3:K3"/>
    <mergeCell ref="C5:G5"/>
    <mergeCell ref="I5:J5"/>
    <mergeCell ref="A7:K7"/>
    <mergeCell ref="B8:C8"/>
    <mergeCell ref="H8:K8"/>
    <mergeCell ref="B9:C9"/>
    <mergeCell ref="H9:K9"/>
  </mergeCells>
  <dataValidations count="4">
    <dataValidation type="list" allowBlank="1" showInputMessage="1" showErrorMessage="1" sqref="D10:D14 D23:D25 D27:D29 D26:F26" xr:uid="{00000000-0002-0000-1100-000000000000}">
      <formula1>$M$33:$M$49</formula1>
    </dataValidation>
    <dataValidation type="list" allowBlank="1" showInputMessage="1" showErrorMessage="1" sqref="D9" xr:uid="{00000000-0002-0000-1100-000001000000}">
      <formula1>$M$33:$M$48</formula1>
    </dataValidation>
    <dataValidation type="list" allowBlank="1" showInputMessage="1" showErrorMessage="1" sqref="D15 E9:F15 E23:F25 E27:F29" xr:uid="{00000000-0002-0000-1100-000002000000}">
      <formula1>$M$41:$M$55</formula1>
    </dataValidation>
    <dataValidation type="list" allowBlank="1" showInputMessage="1" showErrorMessage="1" sqref="C5:G5" xr:uid="{00000000-0002-0000-1100-000003000000}">
      <formula1>$Q$9:$Q$27</formula1>
    </dataValidation>
  </dataValidations>
  <pageMargins left="0.39370078740157483" right="0.39370078740157483" top="0.59055118110236227" bottom="0.59055118110236227" header="0.31496062992125984" footer="0.31496062992125984"/>
  <pageSetup scale="66" orientation="portrait" r:id="rId1"/>
  <headerFooter>
    <oddFooter>&amp;RPág. &amp;P - 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61"/>
  <sheetViews>
    <sheetView view="pageBreakPreview" topLeftCell="A10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15.109375" style="2" customWidth="1" collapsed="1"/>
    <col min="3" max="3" width="23.55468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3.33203125" style="2" customWidth="1" collapsed="1"/>
    <col min="12" max="12" width="14.44140625" style="2" customWidth="1" collapsed="1"/>
    <col min="13" max="14" width="11.44140625" style="6" customWidth="1" collapsed="1"/>
    <col min="15" max="16" width="11.44140625" style="2" customWidth="1" collapsed="1"/>
    <col min="17" max="17" width="11.44140625" style="2" collapsed="1"/>
    <col min="18" max="18" width="0" style="2" hidden="1" customWidth="1" collapsed="1"/>
    <col min="19" max="16384" width="11.44140625" style="2" collapsed="1"/>
  </cols>
  <sheetData>
    <row r="1" spans="1:18" ht="15" customHeight="1" x14ac:dyDescent="0.3">
      <c r="A1" s="149"/>
      <c r="B1" s="149"/>
      <c r="C1" s="156" t="s">
        <v>16</v>
      </c>
      <c r="D1" s="157"/>
      <c r="E1" s="157"/>
      <c r="F1" s="157"/>
      <c r="G1" s="157"/>
      <c r="H1" s="158"/>
      <c r="I1" s="30" t="s">
        <v>25</v>
      </c>
      <c r="J1" s="210" t="s">
        <v>49</v>
      </c>
      <c r="K1" s="211"/>
    </row>
    <row r="2" spans="1:18" ht="20.2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18" x14ac:dyDescent="0.3">
      <c r="A3" s="149"/>
      <c r="B3" s="149"/>
      <c r="C3" s="162"/>
      <c r="D3" s="163"/>
      <c r="E3" s="163"/>
      <c r="F3" s="163"/>
      <c r="G3" s="163"/>
      <c r="H3" s="164"/>
      <c r="I3" s="30" t="s">
        <v>27</v>
      </c>
      <c r="J3" s="154">
        <v>42286</v>
      </c>
      <c r="K3" s="155"/>
    </row>
    <row r="4" spans="1:18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8" ht="15.75" customHeight="1" x14ac:dyDescent="0.3">
      <c r="A5" s="3"/>
      <c r="B5" s="13" t="s">
        <v>32</v>
      </c>
      <c r="C5" s="150" t="s">
        <v>128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18" ht="15.75" customHeight="1" x14ac:dyDescent="0.3">
      <c r="A6" s="18"/>
      <c r="E6" s="19"/>
      <c r="F6" s="19"/>
      <c r="G6" s="11"/>
    </row>
    <row r="7" spans="1:18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8" ht="28.8" x14ac:dyDescent="0.3">
      <c r="A8" s="87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18" ht="18" customHeight="1" x14ac:dyDescent="0.3">
      <c r="A9" s="29">
        <v>1</v>
      </c>
      <c r="B9" s="124" t="s">
        <v>29</v>
      </c>
      <c r="C9" s="125"/>
      <c r="D9" s="28">
        <v>4</v>
      </c>
      <c r="E9" s="7">
        <v>4</v>
      </c>
      <c r="F9" s="7">
        <v>4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  <c r="R9" s="2" t="s">
        <v>2</v>
      </c>
    </row>
    <row r="10" spans="1:18" ht="18" customHeight="1" x14ac:dyDescent="0.3">
      <c r="A10" s="29">
        <v>2</v>
      </c>
      <c r="B10" s="124" t="s">
        <v>28</v>
      </c>
      <c r="C10" s="125"/>
      <c r="D10" s="28">
        <v>4</v>
      </c>
      <c r="E10" s="7">
        <v>4</v>
      </c>
      <c r="F10" s="7">
        <v>4</v>
      </c>
      <c r="G10" s="22">
        <f t="shared" ref="G10:G29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R10" s="2" t="s">
        <v>48</v>
      </c>
    </row>
    <row r="11" spans="1:18" ht="18" customHeight="1" x14ac:dyDescent="0.3">
      <c r="A11" s="29">
        <v>3</v>
      </c>
      <c r="B11" s="124" t="s">
        <v>31</v>
      </c>
      <c r="C11" s="125"/>
      <c r="D11" s="28">
        <v>4</v>
      </c>
      <c r="E11" s="7">
        <v>4</v>
      </c>
      <c r="F11" s="7">
        <v>4</v>
      </c>
      <c r="G11" s="22">
        <f t="shared" si="0"/>
        <v>1</v>
      </c>
      <c r="H11" s="134"/>
      <c r="I11" s="134"/>
      <c r="J11" s="134"/>
      <c r="K11" s="134"/>
      <c r="R11" s="2" t="s">
        <v>121</v>
      </c>
    </row>
    <row r="12" spans="1:18" ht="18" customHeight="1" x14ac:dyDescent="0.3">
      <c r="A12" s="29">
        <v>4</v>
      </c>
      <c r="B12" s="124" t="s">
        <v>30</v>
      </c>
      <c r="C12" s="125"/>
      <c r="D12" s="28">
        <v>4</v>
      </c>
      <c r="E12" s="7">
        <v>4</v>
      </c>
      <c r="F12" s="7">
        <v>4</v>
      </c>
      <c r="G12" s="22">
        <f t="shared" si="0"/>
        <v>1</v>
      </c>
      <c r="H12" s="134"/>
      <c r="I12" s="134"/>
      <c r="J12" s="134"/>
      <c r="K12" s="134"/>
      <c r="R12" s="2" t="s">
        <v>13</v>
      </c>
    </row>
    <row r="13" spans="1:18" ht="18" customHeight="1" x14ac:dyDescent="0.3">
      <c r="A13" s="29">
        <v>5</v>
      </c>
      <c r="B13" s="124" t="s">
        <v>22</v>
      </c>
      <c r="C13" s="125"/>
      <c r="D13" s="28">
        <v>4</v>
      </c>
      <c r="E13" s="7">
        <v>4</v>
      </c>
      <c r="F13" s="7">
        <v>4</v>
      </c>
      <c r="G13" s="22">
        <f t="shared" si="0"/>
        <v>1</v>
      </c>
      <c r="H13" s="134"/>
      <c r="I13" s="134"/>
      <c r="J13" s="134"/>
      <c r="K13" s="134"/>
      <c r="R13" s="2" t="s">
        <v>47</v>
      </c>
    </row>
    <row r="14" spans="1:18" ht="18" customHeight="1" x14ac:dyDescent="0.3">
      <c r="A14" s="29">
        <v>6</v>
      </c>
      <c r="B14" s="126" t="s">
        <v>55</v>
      </c>
      <c r="C14" s="127"/>
      <c r="D14" s="28">
        <v>1</v>
      </c>
      <c r="E14" s="7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R14" s="2" t="s">
        <v>12</v>
      </c>
    </row>
    <row r="15" spans="1:18" ht="18" customHeight="1" x14ac:dyDescent="0.3">
      <c r="A15" s="117">
        <v>7</v>
      </c>
      <c r="B15" s="135" t="s">
        <v>24</v>
      </c>
      <c r="C15" s="136"/>
      <c r="D15" s="141">
        <v>3</v>
      </c>
      <c r="E15" s="144">
        <v>3</v>
      </c>
      <c r="F15" s="144">
        <v>3</v>
      </c>
      <c r="G15" s="128">
        <f>IF(D15="","",IF(D15=0,"-",IF(F15&gt;D15,"ERROR",IF(E15&gt;D15,"ERROR",IF(E15&lt;D15,0,IF(E15&gt;F15,0,IF(F15=D15,1,0)))))))</f>
        <v>1</v>
      </c>
      <c r="H15" s="51" t="s">
        <v>63</v>
      </c>
      <c r="I15" s="65"/>
      <c r="J15" s="51" t="s">
        <v>62</v>
      </c>
      <c r="K15" s="86"/>
      <c r="R15" s="2" t="s">
        <v>122</v>
      </c>
    </row>
    <row r="16" spans="1:18" ht="18" customHeight="1" x14ac:dyDescent="0.3">
      <c r="A16" s="118"/>
      <c r="B16" s="137"/>
      <c r="C16" s="138"/>
      <c r="D16" s="142"/>
      <c r="E16" s="145"/>
      <c r="F16" s="145"/>
      <c r="G16" s="129"/>
      <c r="H16" s="51" t="s">
        <v>64</v>
      </c>
      <c r="I16" s="62"/>
      <c r="J16" s="51" t="s">
        <v>62</v>
      </c>
      <c r="K16" s="86"/>
      <c r="M16" s="2"/>
      <c r="N16" s="2"/>
      <c r="R16" s="2" t="s">
        <v>123</v>
      </c>
    </row>
    <row r="17" spans="1:18" ht="18" customHeight="1" x14ac:dyDescent="0.3">
      <c r="A17" s="118"/>
      <c r="B17" s="137"/>
      <c r="C17" s="138"/>
      <c r="D17" s="142"/>
      <c r="E17" s="145"/>
      <c r="F17" s="145"/>
      <c r="G17" s="129"/>
      <c r="H17" s="51" t="s">
        <v>65</v>
      </c>
      <c r="I17" s="62"/>
      <c r="J17" s="51" t="s">
        <v>62</v>
      </c>
      <c r="K17" s="86"/>
      <c r="M17" s="2"/>
      <c r="N17" s="2"/>
      <c r="R17" s="2" t="s">
        <v>14</v>
      </c>
    </row>
    <row r="18" spans="1:18" ht="18" customHeight="1" x14ac:dyDescent="0.3">
      <c r="A18" s="118"/>
      <c r="B18" s="137"/>
      <c r="C18" s="138"/>
      <c r="D18" s="142"/>
      <c r="E18" s="145"/>
      <c r="F18" s="145"/>
      <c r="G18" s="129"/>
      <c r="H18" s="51" t="s">
        <v>66</v>
      </c>
      <c r="I18" s="73"/>
      <c r="J18" s="51" t="s">
        <v>62</v>
      </c>
      <c r="K18" s="86"/>
      <c r="M18" s="2"/>
      <c r="N18" s="2"/>
      <c r="R18" s="2" t="s">
        <v>6</v>
      </c>
    </row>
    <row r="19" spans="1:18" ht="18" customHeight="1" x14ac:dyDescent="0.3">
      <c r="A19" s="118"/>
      <c r="B19" s="137"/>
      <c r="C19" s="138"/>
      <c r="D19" s="142"/>
      <c r="E19" s="145"/>
      <c r="F19" s="145"/>
      <c r="G19" s="129"/>
      <c r="H19" s="51" t="s">
        <v>67</v>
      </c>
      <c r="I19" s="74"/>
      <c r="J19" s="51" t="s">
        <v>62</v>
      </c>
      <c r="K19" s="86"/>
      <c r="M19" s="2"/>
      <c r="N19" s="2"/>
      <c r="R19" s="2" t="s">
        <v>78</v>
      </c>
    </row>
    <row r="20" spans="1:18" ht="18" customHeight="1" x14ac:dyDescent="0.3">
      <c r="A20" s="118"/>
      <c r="B20" s="137"/>
      <c r="C20" s="138"/>
      <c r="D20" s="142"/>
      <c r="E20" s="145"/>
      <c r="F20" s="145"/>
      <c r="G20" s="129"/>
      <c r="H20" s="51" t="s">
        <v>68</v>
      </c>
      <c r="I20" s="62"/>
      <c r="J20" s="51" t="s">
        <v>62</v>
      </c>
      <c r="K20" s="86"/>
      <c r="M20" s="2"/>
      <c r="N20" s="2"/>
      <c r="R20" s="2" t="s">
        <v>7</v>
      </c>
    </row>
    <row r="21" spans="1:18" ht="18.75" customHeight="1" x14ac:dyDescent="0.3">
      <c r="A21" s="118"/>
      <c r="B21" s="137"/>
      <c r="C21" s="138"/>
      <c r="D21" s="142"/>
      <c r="E21" s="145"/>
      <c r="F21" s="145"/>
      <c r="G21" s="129"/>
      <c r="H21" s="51" t="s">
        <v>69</v>
      </c>
      <c r="I21" s="62"/>
      <c r="J21" s="51" t="s">
        <v>62</v>
      </c>
      <c r="K21" s="86"/>
      <c r="L21" s="4"/>
      <c r="M21" s="2"/>
      <c r="N21" s="2"/>
      <c r="R21" s="2" t="s">
        <v>124</v>
      </c>
    </row>
    <row r="22" spans="1:18" ht="18.75" customHeight="1" x14ac:dyDescent="0.3">
      <c r="A22" s="119"/>
      <c r="B22" s="139"/>
      <c r="C22" s="140"/>
      <c r="D22" s="143"/>
      <c r="E22" s="146"/>
      <c r="F22" s="146"/>
      <c r="G22" s="130"/>
      <c r="H22" s="131"/>
      <c r="I22" s="132"/>
      <c r="J22" s="132"/>
      <c r="K22" s="133"/>
      <c r="L22" s="4"/>
      <c r="M22" s="2"/>
      <c r="N22" s="2"/>
      <c r="R22" s="2" t="s">
        <v>125</v>
      </c>
    </row>
    <row r="23" spans="1:18" ht="18" customHeight="1" x14ac:dyDescent="0.3">
      <c r="A23" s="29">
        <v>8</v>
      </c>
      <c r="B23" s="126" t="s">
        <v>21</v>
      </c>
      <c r="C23" s="127"/>
      <c r="D23" s="28">
        <v>1</v>
      </c>
      <c r="E23" s="7">
        <v>1</v>
      </c>
      <c r="F23" s="7">
        <v>1</v>
      </c>
      <c r="G23" s="22">
        <f t="shared" si="0"/>
        <v>1</v>
      </c>
      <c r="H23" s="134"/>
      <c r="I23" s="134"/>
      <c r="J23" s="134"/>
      <c r="K23" s="134"/>
      <c r="M23" s="2"/>
      <c r="N23" s="2"/>
      <c r="R23" s="2" t="s">
        <v>126</v>
      </c>
    </row>
    <row r="24" spans="1:18" ht="18" customHeight="1" x14ac:dyDescent="0.3">
      <c r="A24" s="29">
        <v>9</v>
      </c>
      <c r="B24" s="126" t="s">
        <v>20</v>
      </c>
      <c r="C24" s="127"/>
      <c r="D24" s="28">
        <v>2</v>
      </c>
      <c r="E24" s="7">
        <v>2</v>
      </c>
      <c r="F24" s="7">
        <v>2</v>
      </c>
      <c r="G24" s="22">
        <f t="shared" si="0"/>
        <v>1</v>
      </c>
      <c r="H24" s="134"/>
      <c r="I24" s="134"/>
      <c r="J24" s="134"/>
      <c r="K24" s="134"/>
      <c r="M24" s="2"/>
      <c r="N24" s="2"/>
      <c r="R24" s="2" t="s">
        <v>127</v>
      </c>
    </row>
    <row r="25" spans="1:18" ht="18" customHeight="1" x14ac:dyDescent="0.3">
      <c r="A25" s="29">
        <v>10</v>
      </c>
      <c r="B25" s="124" t="s">
        <v>8</v>
      </c>
      <c r="C25" s="125"/>
      <c r="D25" s="28">
        <v>4</v>
      </c>
      <c r="E25" s="7">
        <v>4</v>
      </c>
      <c r="F25" s="7">
        <v>4</v>
      </c>
      <c r="G25" s="22">
        <f t="shared" si="0"/>
        <v>1</v>
      </c>
      <c r="H25" s="134"/>
      <c r="I25" s="134"/>
      <c r="J25" s="134"/>
      <c r="K25" s="134"/>
      <c r="M25" s="2"/>
      <c r="N25" s="2"/>
      <c r="R25" s="2" t="s">
        <v>128</v>
      </c>
    </row>
    <row r="26" spans="1:18" ht="18" customHeight="1" x14ac:dyDescent="0.3">
      <c r="A26" s="29">
        <v>11</v>
      </c>
      <c r="B26" s="122" t="s">
        <v>132</v>
      </c>
      <c r="C26" s="123"/>
      <c r="D26" s="28">
        <v>1</v>
      </c>
      <c r="E26" s="28">
        <v>1</v>
      </c>
      <c r="F26" s="28">
        <v>1</v>
      </c>
      <c r="G26" s="22">
        <f t="shared" si="0"/>
        <v>1</v>
      </c>
      <c r="H26" s="175"/>
      <c r="I26" s="176"/>
      <c r="J26" s="176"/>
      <c r="K26" s="177"/>
      <c r="M26" s="2"/>
      <c r="N26" s="2"/>
      <c r="R26" s="2" t="s">
        <v>129</v>
      </c>
    </row>
    <row r="27" spans="1:18" ht="18" customHeight="1" x14ac:dyDescent="0.3">
      <c r="A27" s="29">
        <v>12</v>
      </c>
      <c r="B27" s="120" t="s">
        <v>60</v>
      </c>
      <c r="C27" s="121"/>
      <c r="D27" s="28">
        <v>1</v>
      </c>
      <c r="E27" s="7">
        <v>1</v>
      </c>
      <c r="F27" s="7">
        <v>1</v>
      </c>
      <c r="G27" s="22">
        <f t="shared" si="0"/>
        <v>1</v>
      </c>
      <c r="H27" s="134"/>
      <c r="I27" s="134"/>
      <c r="J27" s="134"/>
      <c r="K27" s="134"/>
      <c r="R27" s="2" t="s">
        <v>130</v>
      </c>
    </row>
    <row r="28" spans="1:18" ht="18" customHeight="1" x14ac:dyDescent="0.3">
      <c r="A28" s="29">
        <v>13</v>
      </c>
      <c r="B28" s="195" t="s">
        <v>56</v>
      </c>
      <c r="C28" s="196"/>
      <c r="D28" s="89">
        <v>1</v>
      </c>
      <c r="E28" s="7">
        <v>1</v>
      </c>
      <c r="F28" s="7">
        <v>1</v>
      </c>
      <c r="G28" s="88">
        <f t="shared" si="0"/>
        <v>1</v>
      </c>
      <c r="H28" s="197"/>
      <c r="I28" s="197"/>
      <c r="J28" s="197"/>
      <c r="K28" s="197"/>
    </row>
    <row r="29" spans="1:18" ht="18" customHeight="1" thickBot="1" x14ac:dyDescent="0.35">
      <c r="A29" s="29">
        <v>14</v>
      </c>
      <c r="B29" s="203" t="s">
        <v>70</v>
      </c>
      <c r="C29" s="204"/>
      <c r="D29" s="28">
        <v>3</v>
      </c>
      <c r="E29" s="7">
        <v>3</v>
      </c>
      <c r="F29" s="7">
        <v>3</v>
      </c>
      <c r="G29" s="22">
        <f t="shared" si="0"/>
        <v>1</v>
      </c>
      <c r="H29" s="134"/>
      <c r="I29" s="134"/>
      <c r="J29" s="134"/>
      <c r="K29" s="134"/>
    </row>
    <row r="30" spans="1:18" ht="19.5" customHeight="1" thickBot="1" x14ac:dyDescent="0.35">
      <c r="A30" s="198" t="s">
        <v>57</v>
      </c>
      <c r="B30" s="199"/>
      <c r="C30" s="199"/>
      <c r="D30" s="199"/>
      <c r="E30" s="199"/>
      <c r="F30" s="199"/>
      <c r="G30" s="200">
        <f>IFERROR(AVERAGE(G9:G28),"-")</f>
        <v>1</v>
      </c>
      <c r="H30" s="201"/>
      <c r="I30" s="201"/>
      <c r="J30" s="201"/>
      <c r="K30" s="202"/>
    </row>
    <row r="31" spans="1:18" ht="17.25" customHeight="1" x14ac:dyDescent="0.3">
      <c r="A31" s="34"/>
      <c r="E31" s="17"/>
      <c r="F31" s="35"/>
      <c r="G31" s="36"/>
      <c r="H31" s="25"/>
      <c r="I31" s="37"/>
      <c r="J31" s="23"/>
    </row>
    <row r="32" spans="1:18" ht="28.5" customHeight="1" x14ac:dyDescent="0.3">
      <c r="A32" s="193" t="s">
        <v>59</v>
      </c>
      <c r="B32" s="193"/>
      <c r="C32" s="215" t="s">
        <v>156</v>
      </c>
      <c r="D32" s="215"/>
      <c r="E32" s="38"/>
      <c r="F32" s="38"/>
      <c r="G32" s="24"/>
      <c r="H32" s="25"/>
      <c r="I32" s="26"/>
      <c r="J32" s="25"/>
    </row>
    <row r="33" spans="1:16" x14ac:dyDescent="0.3">
      <c r="A33" s="193" t="s">
        <v>61</v>
      </c>
      <c r="B33" s="193"/>
      <c r="C33" s="184" t="s">
        <v>89</v>
      </c>
      <c r="D33" s="185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92" t="s">
        <v>58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</row>
    <row r="36" spans="1:16" x14ac:dyDescent="0.3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17</v>
      </c>
      <c r="M39" s="21" t="s">
        <v>54</v>
      </c>
      <c r="N39" s="21" t="s">
        <v>53</v>
      </c>
      <c r="O39" s="42" t="s">
        <v>34</v>
      </c>
    </row>
    <row r="40" spans="1:16" ht="15.6" hidden="1" x14ac:dyDescent="0.3">
      <c r="K40" s="5" t="s">
        <v>10</v>
      </c>
      <c r="L40" s="8" t="s">
        <v>18</v>
      </c>
      <c r="M40" s="6">
        <v>0</v>
      </c>
      <c r="N40" s="44" t="s">
        <v>18</v>
      </c>
      <c r="O40" s="6" t="s">
        <v>35</v>
      </c>
      <c r="P40" s="10"/>
    </row>
    <row r="41" spans="1:16" hidden="1" x14ac:dyDescent="0.3">
      <c r="K41" s="81" t="str">
        <f>IF(MAESTRO!A1="","",MAESTRO!A1)</f>
        <v>******SUCURSALES</v>
      </c>
      <c r="L41" s="43" t="s">
        <v>19</v>
      </c>
      <c r="M41" s="15">
        <v>1</v>
      </c>
      <c r="N41" s="43" t="s">
        <v>19</v>
      </c>
      <c r="O41" s="6" t="s">
        <v>36</v>
      </c>
    </row>
    <row r="42" spans="1:16" hidden="1" x14ac:dyDescent="0.3">
      <c r="K42" s="81" t="str">
        <f>IF(MAESTRO!A2="","",MAESTRO!A2)</f>
        <v>LA CASA DE LA CAÑA, C.A. (T. ALTERNA)</v>
      </c>
      <c r="M42" s="16">
        <v>2</v>
      </c>
      <c r="N42" s="16"/>
      <c r="O42" s="6" t="s">
        <v>37</v>
      </c>
    </row>
    <row r="43" spans="1:16" hidden="1" x14ac:dyDescent="0.3">
      <c r="K43" s="81" t="str">
        <f>IF(MAESTRO!A3="","",MAESTRO!A3)</f>
        <v>LA CASA DE LA CAÑA, C.A. (T. ANACO)</v>
      </c>
      <c r="M43" s="16">
        <v>3</v>
      </c>
      <c r="N43" s="16"/>
      <c r="O43" s="6" t="s">
        <v>38</v>
      </c>
    </row>
    <row r="44" spans="1:16" hidden="1" x14ac:dyDescent="0.3">
      <c r="K44" s="81" t="str">
        <f>IF(MAESTRO!A4="","",MAESTRO!A4)</f>
        <v>LA CASA DE LA CAÑA, C.A. (T. CUMANÁ)</v>
      </c>
      <c r="L44" s="81"/>
      <c r="M44" s="16">
        <v>4</v>
      </c>
      <c r="N44" s="15"/>
      <c r="O44" s="6" t="s">
        <v>39</v>
      </c>
    </row>
    <row r="45" spans="1:16" hidden="1" x14ac:dyDescent="0.3">
      <c r="K45" s="81" t="str">
        <f>IF(MAESTRO!A5="","",MAESTRO!A5)</f>
        <v>LA CASA DE LA CAÑA, C.A. (T. MATURÍN I)</v>
      </c>
      <c r="L45" s="81"/>
      <c r="M45" s="15">
        <v>5</v>
      </c>
      <c r="N45" s="15"/>
      <c r="O45" s="6" t="s">
        <v>40</v>
      </c>
    </row>
    <row r="46" spans="1:16" hidden="1" x14ac:dyDescent="0.3">
      <c r="K46" s="81" t="str">
        <f>IF(MAESTRO!A6="","",MAESTRO!A6)</f>
        <v>LA CASA DE LA CAÑA, C.A. (T. MATURÍN II)</v>
      </c>
      <c r="L46" s="81"/>
      <c r="M46" s="15">
        <v>6</v>
      </c>
      <c r="N46" s="15"/>
      <c r="O46" s="6" t="s">
        <v>41</v>
      </c>
    </row>
    <row r="47" spans="1:16" hidden="1" x14ac:dyDescent="0.3">
      <c r="K47" s="81" t="str">
        <f>IF(MAESTRO!A7="","",MAESTRO!A7)</f>
        <v>LA CASA DE LA CAÑA, C.A. (T. NVA. BARCELONA)</v>
      </c>
      <c r="L47" s="81"/>
      <c r="M47" s="15">
        <v>7</v>
      </c>
      <c r="N47" s="15"/>
      <c r="O47" s="6" t="s">
        <v>42</v>
      </c>
    </row>
    <row r="48" spans="1:16" hidden="1" x14ac:dyDescent="0.3">
      <c r="K48" s="81" t="str">
        <f>IF(MAESTRO!A8="","",MAESTRO!A8)</f>
        <v>INVERSIONES CAÑANDONGA,C.A (T. CONEJERO)</v>
      </c>
      <c r="L48" s="81"/>
      <c r="M48" s="15">
        <v>8</v>
      </c>
      <c r="N48" s="15"/>
      <c r="O48" s="6" t="s">
        <v>43</v>
      </c>
    </row>
    <row r="49" spans="5:15" hidden="1" x14ac:dyDescent="0.3">
      <c r="E49" s="2"/>
      <c r="F49" s="2"/>
      <c r="G49" s="2"/>
      <c r="K49" s="81" t="str">
        <f>IF(MAESTRO!A9="","",MAESTRO!A9)</f>
        <v>OPERADORA EL MERCADO 2011, C.A. (T. MERCADO)</v>
      </c>
      <c r="L49" s="81"/>
      <c r="M49" s="15">
        <v>9</v>
      </c>
      <c r="N49" s="15"/>
      <c r="O49" s="6" t="s">
        <v>44</v>
      </c>
    </row>
    <row r="50" spans="5:15" hidden="1" x14ac:dyDescent="0.3">
      <c r="E50" s="2"/>
      <c r="F50" s="2"/>
      <c r="G50" s="2"/>
      <c r="K50" s="81" t="str">
        <f>IF(MAESTRO!A10="","",MAESTRO!A10)</f>
        <v>OPERADORA EL PUENTE 2011, C.A. (T. PUENTE REAL)</v>
      </c>
      <c r="L50" s="81"/>
      <c r="M50" s="15">
        <v>10</v>
      </c>
      <c r="N50" s="15"/>
      <c r="O50" s="6" t="s">
        <v>45</v>
      </c>
    </row>
    <row r="51" spans="5:15" hidden="1" x14ac:dyDescent="0.3">
      <c r="E51" s="2"/>
      <c r="F51" s="2"/>
      <c r="G51" s="2"/>
      <c r="K51" s="81" t="str">
        <f>IF(MAESTRO!A11="","",MAESTRO!A11)</f>
        <v>OPERADORA LECHERÍA 2011, C.A. (T. LECHERÍA)</v>
      </c>
      <c r="L51" s="81"/>
      <c r="M51" s="15">
        <v>11</v>
      </c>
      <c r="N51" s="15"/>
      <c r="O51" s="6" t="s">
        <v>46</v>
      </c>
    </row>
    <row r="52" spans="5:15" hidden="1" x14ac:dyDescent="0.3">
      <c r="E52" s="2"/>
      <c r="F52" s="2"/>
      <c r="G52" s="2"/>
      <c r="K52" s="81" t="str">
        <f>IF(MAESTRO!A12="","",MAESTRO!A12)</f>
        <v>OPERADORA PUERTO LA CRUZ 2011, C.A. (T. PUERTO LA CRUZ)</v>
      </c>
      <c r="L52" s="81"/>
      <c r="M52" s="15">
        <v>12</v>
      </c>
      <c r="N52" s="15"/>
      <c r="O52" s="6"/>
    </row>
    <row r="53" spans="5:15" hidden="1" x14ac:dyDescent="0.3">
      <c r="E53" s="2"/>
      <c r="F53" s="2"/>
      <c r="G53" s="2"/>
      <c r="K53" s="81" t="str">
        <f>IF(MAESTRO!A13="","",MAESTRO!A13)</f>
        <v>OPERADORA PUERTO ORDAZ 2013, C.A.(T. PUERTO ORDAZ)</v>
      </c>
      <c r="L53" s="81"/>
      <c r="M53" s="15">
        <v>13</v>
      </c>
      <c r="N53" s="15"/>
      <c r="O53" s="6"/>
    </row>
    <row r="54" spans="5:15" hidden="1" x14ac:dyDescent="0.3">
      <c r="E54" s="2"/>
      <c r="F54" s="2"/>
      <c r="G54" s="2"/>
      <c r="K54" s="81" t="str">
        <f>IF(MAESTRO!A14="","",MAESTRO!A14)</f>
        <v>OPERADORA LAS AMERICAS, C.A</v>
      </c>
      <c r="L54" s="81"/>
      <c r="M54" s="15">
        <v>14</v>
      </c>
      <c r="N54" s="15"/>
      <c r="O54" s="6"/>
    </row>
    <row r="55" spans="5:15" hidden="1" x14ac:dyDescent="0.3">
      <c r="E55" s="2"/>
      <c r="F55" s="2"/>
      <c r="G55" s="2"/>
      <c r="K55" s="8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81" t="str">
        <f>IF(MAESTRO!A16="","",MAESTRO!A16)</f>
        <v>RELIVE, C.A. (T. CHUPARÍN)</v>
      </c>
    </row>
    <row r="57" spans="5:15" hidden="1" x14ac:dyDescent="0.3">
      <c r="K57" s="81" t="str">
        <f>IF(MAESTRO!A17="","",MAESTRO!A17)</f>
        <v>RELIVE, C.A. (T. TERRAZAS)</v>
      </c>
    </row>
    <row r="58" spans="5:15" hidden="1" x14ac:dyDescent="0.3">
      <c r="K58" s="81" t="str">
        <f>IF(MAESTRO!A18="","",MAESTRO!A18)</f>
        <v>RELIVE, C.A. (T. TIGRE II)</v>
      </c>
    </row>
    <row r="59" spans="5:15" hidden="1" x14ac:dyDescent="0.3">
      <c r="K59" s="81" t="str">
        <f>IF(MAESTRO!A19="","",MAESTRO!A19)</f>
        <v>RELIVE, C.A. (T. TIGRE III)</v>
      </c>
    </row>
    <row r="60" spans="5:15" x14ac:dyDescent="0.3">
      <c r="K60" s="81" t="str">
        <f>IF(MAESTRO!A20="","",MAESTRO!A20)</f>
        <v/>
      </c>
    </row>
    <row r="61" spans="5:15" x14ac:dyDescent="0.3">
      <c r="K61" s="81" t="str">
        <f>IF(MAESTRO!A21="","",MAESTRO!A21)</f>
        <v/>
      </c>
    </row>
  </sheetData>
  <sheetProtection selectLockedCells="1"/>
  <dataConsolidate/>
  <mergeCells count="49">
    <mergeCell ref="A33:B33"/>
    <mergeCell ref="C33:D33"/>
    <mergeCell ref="A35:K36"/>
    <mergeCell ref="B29:C29"/>
    <mergeCell ref="H29:K29"/>
    <mergeCell ref="A30:F30"/>
    <mergeCell ref="G30:K30"/>
    <mergeCell ref="A32:B32"/>
    <mergeCell ref="C32:D32"/>
    <mergeCell ref="B26:C26"/>
    <mergeCell ref="H26:K26"/>
    <mergeCell ref="B27:C27"/>
    <mergeCell ref="H27:K27"/>
    <mergeCell ref="B28:C28"/>
    <mergeCell ref="H28:K28"/>
    <mergeCell ref="B23:C23"/>
    <mergeCell ref="H23:K23"/>
    <mergeCell ref="B24:C24"/>
    <mergeCell ref="H24:K24"/>
    <mergeCell ref="B25:C25"/>
    <mergeCell ref="H25:K25"/>
    <mergeCell ref="B14:C14"/>
    <mergeCell ref="H14:K14"/>
    <mergeCell ref="A15:A22"/>
    <mergeCell ref="B15:C22"/>
    <mergeCell ref="D15:D22"/>
    <mergeCell ref="E15:E22"/>
    <mergeCell ref="F15:F22"/>
    <mergeCell ref="G15:G22"/>
    <mergeCell ref="H22:K22"/>
    <mergeCell ref="B11:C11"/>
    <mergeCell ref="H11:K11"/>
    <mergeCell ref="B12:C12"/>
    <mergeCell ref="H12:K12"/>
    <mergeCell ref="B13:C13"/>
    <mergeCell ref="H13:K13"/>
    <mergeCell ref="B10:C10"/>
    <mergeCell ref="H10:K10"/>
    <mergeCell ref="A1:B3"/>
    <mergeCell ref="C1:H3"/>
    <mergeCell ref="J1:K1"/>
    <mergeCell ref="J3:K3"/>
    <mergeCell ref="C5:G5"/>
    <mergeCell ref="I5:J5"/>
    <mergeCell ref="A7:K7"/>
    <mergeCell ref="B8:C8"/>
    <mergeCell ref="H8:K8"/>
    <mergeCell ref="B9:C9"/>
    <mergeCell ref="H9:K9"/>
  </mergeCells>
  <dataValidations count="4">
    <dataValidation type="list" allowBlank="1" showInputMessage="1" showErrorMessage="1" sqref="C5:G5" xr:uid="{00000000-0002-0000-1200-000000000000}">
      <formula1>$R$9:$R$27</formula1>
    </dataValidation>
    <dataValidation type="list" allowBlank="1" showInputMessage="1" showErrorMessage="1" sqref="D15 E9:F15 E23:F25 E27:F29" xr:uid="{00000000-0002-0000-1200-000001000000}">
      <formula1>$M$41:$M$55</formula1>
    </dataValidation>
    <dataValidation type="list" allowBlank="1" showInputMessage="1" showErrorMessage="1" sqref="D9" xr:uid="{00000000-0002-0000-1200-000002000000}">
      <formula1>$M$33:$M$48</formula1>
    </dataValidation>
    <dataValidation type="list" allowBlank="1" showInputMessage="1" showErrorMessage="1" sqref="D10:D14 D23:D25 D27:D29 D26:F26" xr:uid="{00000000-0002-0000-1200-000003000000}">
      <formula1>$M$33:$M$49</formula1>
    </dataValidation>
  </dataValidations>
  <pageMargins left="0.39370078740157483" right="0.39370078740157483" top="0.59055118110236227" bottom="0.59055118110236227" header="0.31496062992125984" footer="0.31496062992125984"/>
  <pageSetup scale="67" orientation="portrait" r:id="rId1"/>
  <headerFooter>
    <oddFooter>&amp;RPág. &amp;P - 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61"/>
  <sheetViews>
    <sheetView view="pageBreakPreview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15.109375" style="2" customWidth="1" collapsed="1"/>
    <col min="3" max="3" width="23.55468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3.33203125" style="2" customWidth="1" collapsed="1"/>
    <col min="12" max="12" width="14.44140625" style="2" customWidth="1" collapsed="1"/>
    <col min="13" max="14" width="11.44140625" style="6" customWidth="1" collapsed="1"/>
    <col min="15" max="16" width="11.44140625" style="2" customWidth="1" collapsed="1"/>
    <col min="17" max="17" width="11.44140625" style="2" collapsed="1"/>
    <col min="18" max="18" width="0" style="2" hidden="1" customWidth="1" collapsed="1"/>
    <col min="19" max="16384" width="11.44140625" style="2" collapsed="1"/>
  </cols>
  <sheetData>
    <row r="1" spans="1:18" ht="15" customHeight="1" x14ac:dyDescent="0.3">
      <c r="A1" s="149"/>
      <c r="B1" s="149"/>
      <c r="C1" s="156" t="s">
        <v>16</v>
      </c>
      <c r="D1" s="157"/>
      <c r="E1" s="157"/>
      <c r="F1" s="157"/>
      <c r="G1" s="157"/>
      <c r="H1" s="158"/>
      <c r="I1" s="30" t="s">
        <v>25</v>
      </c>
      <c r="J1" s="210" t="s">
        <v>49</v>
      </c>
      <c r="K1" s="211"/>
    </row>
    <row r="2" spans="1:18" ht="20.2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18" x14ac:dyDescent="0.3">
      <c r="A3" s="149"/>
      <c r="B3" s="149"/>
      <c r="C3" s="162"/>
      <c r="D3" s="163"/>
      <c r="E3" s="163"/>
      <c r="F3" s="163"/>
      <c r="G3" s="163"/>
      <c r="H3" s="164"/>
      <c r="I3" s="30" t="s">
        <v>27</v>
      </c>
      <c r="J3" s="154">
        <v>42286</v>
      </c>
      <c r="K3" s="155"/>
    </row>
    <row r="4" spans="1:18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8" ht="15.75" customHeight="1" x14ac:dyDescent="0.3">
      <c r="A5" s="3"/>
      <c r="B5" s="13" t="s">
        <v>32</v>
      </c>
      <c r="C5" s="150" t="s">
        <v>129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18" ht="15.75" customHeight="1" x14ac:dyDescent="0.3">
      <c r="A6" s="18"/>
      <c r="E6" s="19"/>
      <c r="F6" s="19"/>
      <c r="G6" s="11"/>
    </row>
    <row r="7" spans="1:18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8" ht="28.8" x14ac:dyDescent="0.3">
      <c r="A8" s="106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18" ht="18" customHeight="1" x14ac:dyDescent="0.3">
      <c r="A9" s="29">
        <v>1</v>
      </c>
      <c r="B9" s="124" t="s">
        <v>29</v>
      </c>
      <c r="C9" s="125"/>
      <c r="D9" s="28">
        <v>4</v>
      </c>
      <c r="E9" s="7">
        <v>4</v>
      </c>
      <c r="F9" s="7">
        <v>4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  <c r="R9" s="2" t="s">
        <v>2</v>
      </c>
    </row>
    <row r="10" spans="1:18" ht="18" customHeight="1" x14ac:dyDescent="0.3">
      <c r="A10" s="29">
        <v>2</v>
      </c>
      <c r="B10" s="124" t="s">
        <v>28</v>
      </c>
      <c r="C10" s="125"/>
      <c r="D10" s="28">
        <v>4</v>
      </c>
      <c r="E10" s="7">
        <v>4</v>
      </c>
      <c r="F10" s="7">
        <v>4</v>
      </c>
      <c r="G10" s="22">
        <f t="shared" ref="G10:G29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R10" s="2" t="s">
        <v>48</v>
      </c>
    </row>
    <row r="11" spans="1:18" ht="18" customHeight="1" x14ac:dyDescent="0.3">
      <c r="A11" s="29">
        <v>3</v>
      </c>
      <c r="B11" s="124" t="s">
        <v>31</v>
      </c>
      <c r="C11" s="125"/>
      <c r="D11" s="28">
        <v>4</v>
      </c>
      <c r="E11" s="7">
        <v>4</v>
      </c>
      <c r="F11" s="7">
        <v>4</v>
      </c>
      <c r="G11" s="22">
        <f t="shared" si="0"/>
        <v>1</v>
      </c>
      <c r="H11" s="134"/>
      <c r="I11" s="134"/>
      <c r="J11" s="134"/>
      <c r="K11" s="134"/>
      <c r="R11" s="2" t="s">
        <v>121</v>
      </c>
    </row>
    <row r="12" spans="1:18" ht="18" customHeight="1" x14ac:dyDescent="0.3">
      <c r="A12" s="29">
        <v>4</v>
      </c>
      <c r="B12" s="124" t="s">
        <v>30</v>
      </c>
      <c r="C12" s="125"/>
      <c r="D12" s="28">
        <v>4</v>
      </c>
      <c r="E12" s="7">
        <v>4</v>
      </c>
      <c r="F12" s="7">
        <v>4</v>
      </c>
      <c r="G12" s="22">
        <f t="shared" si="0"/>
        <v>1</v>
      </c>
      <c r="H12" s="134"/>
      <c r="I12" s="134"/>
      <c r="J12" s="134"/>
      <c r="K12" s="134"/>
      <c r="R12" s="2" t="s">
        <v>13</v>
      </c>
    </row>
    <row r="13" spans="1:18" ht="18" customHeight="1" x14ac:dyDescent="0.3">
      <c r="A13" s="29">
        <v>5</v>
      </c>
      <c r="B13" s="124" t="s">
        <v>22</v>
      </c>
      <c r="C13" s="125"/>
      <c r="D13" s="28">
        <v>4</v>
      </c>
      <c r="E13" s="7">
        <v>4</v>
      </c>
      <c r="F13" s="7">
        <v>4</v>
      </c>
      <c r="G13" s="22">
        <f t="shared" si="0"/>
        <v>1</v>
      </c>
      <c r="H13" s="134"/>
      <c r="I13" s="134"/>
      <c r="J13" s="134"/>
      <c r="K13" s="134"/>
      <c r="R13" s="2" t="s">
        <v>47</v>
      </c>
    </row>
    <row r="14" spans="1:18" ht="18" customHeight="1" x14ac:dyDescent="0.3">
      <c r="A14" s="29">
        <v>6</v>
      </c>
      <c r="B14" s="126" t="s">
        <v>55</v>
      </c>
      <c r="C14" s="127"/>
      <c r="D14" s="28">
        <v>1</v>
      </c>
      <c r="E14" s="7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R14" s="2" t="s">
        <v>12</v>
      </c>
    </row>
    <row r="15" spans="1:18" ht="18" customHeight="1" x14ac:dyDescent="0.3">
      <c r="A15" s="117">
        <v>7</v>
      </c>
      <c r="B15" s="135" t="s">
        <v>24</v>
      </c>
      <c r="C15" s="136"/>
      <c r="D15" s="141">
        <v>3</v>
      </c>
      <c r="E15" s="144">
        <v>3</v>
      </c>
      <c r="F15" s="144">
        <v>3</v>
      </c>
      <c r="G15" s="128">
        <f>IF(D15="","",IF(D15=0,"-",IF(F15&gt;D15,"ERROR",IF(E15&gt;D15,"ERROR",IF(E15&lt;D15,0,IF(E15&gt;F15,0,IF(F15=D15,1,0)))))))</f>
        <v>1</v>
      </c>
      <c r="H15" s="51" t="s">
        <v>63</v>
      </c>
      <c r="I15" s="65"/>
      <c r="J15" s="51" t="s">
        <v>62</v>
      </c>
      <c r="K15" s="104"/>
      <c r="R15" s="2" t="s">
        <v>122</v>
      </c>
    </row>
    <row r="16" spans="1:18" ht="18" customHeight="1" x14ac:dyDescent="0.3">
      <c r="A16" s="118"/>
      <c r="B16" s="137"/>
      <c r="C16" s="138"/>
      <c r="D16" s="142"/>
      <c r="E16" s="145"/>
      <c r="F16" s="145"/>
      <c r="G16" s="129"/>
      <c r="H16" s="51" t="s">
        <v>64</v>
      </c>
      <c r="I16" s="62"/>
      <c r="J16" s="51" t="s">
        <v>62</v>
      </c>
      <c r="K16" s="104"/>
      <c r="M16" s="2"/>
      <c r="N16" s="2"/>
      <c r="R16" s="2" t="s">
        <v>123</v>
      </c>
    </row>
    <row r="17" spans="1:18" ht="18" customHeight="1" x14ac:dyDescent="0.3">
      <c r="A17" s="118"/>
      <c r="B17" s="137"/>
      <c r="C17" s="138"/>
      <c r="D17" s="142"/>
      <c r="E17" s="145"/>
      <c r="F17" s="145"/>
      <c r="G17" s="129"/>
      <c r="H17" s="51" t="s">
        <v>65</v>
      </c>
      <c r="I17" s="62"/>
      <c r="J17" s="51" t="s">
        <v>62</v>
      </c>
      <c r="K17" s="104"/>
      <c r="M17" s="2"/>
      <c r="N17" s="2"/>
      <c r="R17" s="2" t="s">
        <v>14</v>
      </c>
    </row>
    <row r="18" spans="1:18" ht="18" customHeight="1" x14ac:dyDescent="0.3">
      <c r="A18" s="118"/>
      <c r="B18" s="137"/>
      <c r="C18" s="138"/>
      <c r="D18" s="142"/>
      <c r="E18" s="145"/>
      <c r="F18" s="145"/>
      <c r="G18" s="129"/>
      <c r="H18" s="51" t="s">
        <v>66</v>
      </c>
      <c r="I18" s="73"/>
      <c r="J18" s="51" t="s">
        <v>62</v>
      </c>
      <c r="K18" s="104"/>
      <c r="M18" s="2"/>
      <c r="N18" s="2"/>
      <c r="R18" s="2" t="s">
        <v>6</v>
      </c>
    </row>
    <row r="19" spans="1:18" ht="18" customHeight="1" x14ac:dyDescent="0.3">
      <c r="A19" s="118"/>
      <c r="B19" s="137"/>
      <c r="C19" s="138"/>
      <c r="D19" s="142"/>
      <c r="E19" s="145"/>
      <c r="F19" s="145"/>
      <c r="G19" s="129"/>
      <c r="H19" s="51" t="s">
        <v>67</v>
      </c>
      <c r="I19" s="74"/>
      <c r="J19" s="51" t="s">
        <v>62</v>
      </c>
      <c r="K19" s="104"/>
      <c r="M19" s="2"/>
      <c r="N19" s="2"/>
      <c r="R19" s="2" t="s">
        <v>78</v>
      </c>
    </row>
    <row r="20" spans="1:18" ht="18" customHeight="1" x14ac:dyDescent="0.3">
      <c r="A20" s="118"/>
      <c r="B20" s="137"/>
      <c r="C20" s="138"/>
      <c r="D20" s="142"/>
      <c r="E20" s="145"/>
      <c r="F20" s="145"/>
      <c r="G20" s="129"/>
      <c r="H20" s="51" t="s">
        <v>68</v>
      </c>
      <c r="I20" s="62"/>
      <c r="J20" s="51" t="s">
        <v>62</v>
      </c>
      <c r="K20" s="104"/>
      <c r="M20" s="2"/>
      <c r="N20" s="2"/>
      <c r="R20" s="2" t="s">
        <v>7</v>
      </c>
    </row>
    <row r="21" spans="1:18" ht="18.75" customHeight="1" x14ac:dyDescent="0.3">
      <c r="A21" s="118"/>
      <c r="B21" s="137"/>
      <c r="C21" s="138"/>
      <c r="D21" s="142"/>
      <c r="E21" s="145"/>
      <c r="F21" s="145"/>
      <c r="G21" s="129"/>
      <c r="H21" s="51" t="s">
        <v>69</v>
      </c>
      <c r="I21" s="62"/>
      <c r="J21" s="51" t="s">
        <v>62</v>
      </c>
      <c r="K21" s="104"/>
      <c r="L21" s="4"/>
      <c r="M21" s="2"/>
      <c r="N21" s="2"/>
      <c r="R21" s="2" t="s">
        <v>124</v>
      </c>
    </row>
    <row r="22" spans="1:18" ht="18.75" customHeight="1" x14ac:dyDescent="0.3">
      <c r="A22" s="119"/>
      <c r="B22" s="139"/>
      <c r="C22" s="140"/>
      <c r="D22" s="143"/>
      <c r="E22" s="146"/>
      <c r="F22" s="146"/>
      <c r="G22" s="130"/>
      <c r="H22" s="131"/>
      <c r="I22" s="132"/>
      <c r="J22" s="132"/>
      <c r="K22" s="133"/>
      <c r="L22" s="4"/>
      <c r="M22" s="2"/>
      <c r="N22" s="2"/>
      <c r="R22" s="2" t="s">
        <v>125</v>
      </c>
    </row>
    <row r="23" spans="1:18" ht="18" customHeight="1" x14ac:dyDescent="0.3">
      <c r="A23" s="29">
        <v>8</v>
      </c>
      <c r="B23" s="126" t="s">
        <v>21</v>
      </c>
      <c r="C23" s="127"/>
      <c r="D23" s="28">
        <v>1</v>
      </c>
      <c r="E23" s="7">
        <v>1</v>
      </c>
      <c r="F23" s="7">
        <v>1</v>
      </c>
      <c r="G23" s="22">
        <f t="shared" si="0"/>
        <v>1</v>
      </c>
      <c r="H23" s="134"/>
      <c r="I23" s="134"/>
      <c r="J23" s="134"/>
      <c r="K23" s="134"/>
      <c r="M23" s="2"/>
      <c r="N23" s="2"/>
      <c r="R23" s="2" t="s">
        <v>126</v>
      </c>
    </row>
    <row r="24" spans="1:18" ht="18" customHeight="1" x14ac:dyDescent="0.3">
      <c r="A24" s="29">
        <v>9</v>
      </c>
      <c r="B24" s="126" t="s">
        <v>20</v>
      </c>
      <c r="C24" s="127"/>
      <c r="D24" s="28">
        <v>1</v>
      </c>
      <c r="E24" s="7">
        <v>1</v>
      </c>
      <c r="F24" s="7">
        <v>1</v>
      </c>
      <c r="G24" s="22">
        <f t="shared" si="0"/>
        <v>1</v>
      </c>
      <c r="H24" s="134"/>
      <c r="I24" s="134"/>
      <c r="J24" s="134"/>
      <c r="K24" s="134"/>
      <c r="M24" s="2"/>
      <c r="N24" s="2"/>
      <c r="R24" s="2" t="s">
        <v>127</v>
      </c>
    </row>
    <row r="25" spans="1:18" ht="18" customHeight="1" x14ac:dyDescent="0.3">
      <c r="A25" s="29">
        <v>10</v>
      </c>
      <c r="B25" s="124" t="s">
        <v>8</v>
      </c>
      <c r="C25" s="125"/>
      <c r="D25" s="28">
        <v>4</v>
      </c>
      <c r="E25" s="7">
        <v>4</v>
      </c>
      <c r="F25" s="7">
        <v>4</v>
      </c>
      <c r="G25" s="22">
        <f t="shared" si="0"/>
        <v>1</v>
      </c>
      <c r="H25" s="134"/>
      <c r="I25" s="134"/>
      <c r="J25" s="134"/>
      <c r="K25" s="134"/>
      <c r="M25" s="2"/>
      <c r="N25" s="2"/>
      <c r="R25" s="2" t="s">
        <v>128</v>
      </c>
    </row>
    <row r="26" spans="1:18" ht="18" customHeight="1" x14ac:dyDescent="0.3">
      <c r="A26" s="29">
        <v>11</v>
      </c>
      <c r="B26" s="122" t="s">
        <v>132</v>
      </c>
      <c r="C26" s="123"/>
      <c r="D26" s="28">
        <v>1</v>
      </c>
      <c r="E26" s="28">
        <v>1</v>
      </c>
      <c r="F26" s="28">
        <v>1</v>
      </c>
      <c r="G26" s="22">
        <f t="shared" si="0"/>
        <v>1</v>
      </c>
      <c r="H26" s="175"/>
      <c r="I26" s="176"/>
      <c r="J26" s="176"/>
      <c r="K26" s="177"/>
      <c r="M26" s="2"/>
      <c r="N26" s="2"/>
      <c r="R26" s="2" t="s">
        <v>129</v>
      </c>
    </row>
    <row r="27" spans="1:18" ht="18" customHeight="1" x14ac:dyDescent="0.3">
      <c r="A27" s="29">
        <v>12</v>
      </c>
      <c r="B27" s="120" t="s">
        <v>60</v>
      </c>
      <c r="C27" s="121"/>
      <c r="D27" s="28">
        <v>1</v>
      </c>
      <c r="E27" s="7">
        <v>1</v>
      </c>
      <c r="F27" s="7">
        <v>1</v>
      </c>
      <c r="G27" s="22">
        <f t="shared" si="0"/>
        <v>1</v>
      </c>
      <c r="H27" s="134"/>
      <c r="I27" s="134"/>
      <c r="J27" s="134"/>
      <c r="K27" s="134"/>
      <c r="R27" s="2" t="s">
        <v>130</v>
      </c>
    </row>
    <row r="28" spans="1:18" ht="18" customHeight="1" x14ac:dyDescent="0.3">
      <c r="A28" s="29">
        <v>13</v>
      </c>
      <c r="B28" s="195" t="s">
        <v>56</v>
      </c>
      <c r="C28" s="196"/>
      <c r="D28" s="105">
        <v>1</v>
      </c>
      <c r="E28" s="7">
        <v>1</v>
      </c>
      <c r="F28" s="7">
        <v>1</v>
      </c>
      <c r="G28" s="103">
        <f t="shared" si="0"/>
        <v>1</v>
      </c>
      <c r="H28" s="197"/>
      <c r="I28" s="197"/>
      <c r="J28" s="197"/>
      <c r="K28" s="197"/>
    </row>
    <row r="29" spans="1:18" ht="18" customHeight="1" thickBot="1" x14ac:dyDescent="0.35">
      <c r="A29" s="29">
        <v>14</v>
      </c>
      <c r="B29" s="203" t="s">
        <v>70</v>
      </c>
      <c r="C29" s="204"/>
      <c r="D29" s="28">
        <v>3</v>
      </c>
      <c r="E29" s="7">
        <v>3</v>
      </c>
      <c r="F29" s="7">
        <v>3</v>
      </c>
      <c r="G29" s="22">
        <f t="shared" si="0"/>
        <v>1</v>
      </c>
      <c r="H29" s="134"/>
      <c r="I29" s="134"/>
      <c r="J29" s="134"/>
      <c r="K29" s="134"/>
    </row>
    <row r="30" spans="1:18" ht="19.5" customHeight="1" thickBot="1" x14ac:dyDescent="0.35">
      <c r="A30" s="198" t="s">
        <v>57</v>
      </c>
      <c r="B30" s="199"/>
      <c r="C30" s="199"/>
      <c r="D30" s="199"/>
      <c r="E30" s="199"/>
      <c r="F30" s="199"/>
      <c r="G30" s="200">
        <f>IFERROR(AVERAGE(G9:G28),"-")</f>
        <v>1</v>
      </c>
      <c r="H30" s="201"/>
      <c r="I30" s="201"/>
      <c r="J30" s="201"/>
      <c r="K30" s="202"/>
    </row>
    <row r="31" spans="1:18" ht="17.25" customHeight="1" x14ac:dyDescent="0.3">
      <c r="A31" s="34"/>
      <c r="E31" s="17"/>
      <c r="F31" s="35"/>
      <c r="G31" s="36"/>
      <c r="H31" s="25"/>
      <c r="I31" s="37"/>
      <c r="J31" s="23"/>
    </row>
    <row r="32" spans="1:18" ht="28.5" customHeight="1" x14ac:dyDescent="0.3">
      <c r="A32" s="193" t="s">
        <v>59</v>
      </c>
      <c r="B32" s="193"/>
      <c r="C32" s="194" t="s">
        <v>152</v>
      </c>
      <c r="D32" s="194"/>
      <c r="E32" s="38"/>
      <c r="F32" s="38"/>
      <c r="G32" s="24"/>
      <c r="H32" s="25"/>
      <c r="I32" s="26"/>
      <c r="J32" s="25"/>
    </row>
    <row r="33" spans="1:16" x14ac:dyDescent="0.3">
      <c r="A33" s="193" t="s">
        <v>61</v>
      </c>
      <c r="B33" s="193"/>
      <c r="C33" s="184" t="s">
        <v>89</v>
      </c>
      <c r="D33" s="185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92" t="s">
        <v>58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</row>
    <row r="36" spans="1:16" x14ac:dyDescent="0.3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M36" s="2"/>
      <c r="N36" s="2"/>
    </row>
    <row r="37" spans="1:16" hidden="1" x14ac:dyDescent="0.3">
      <c r="M37" s="2"/>
      <c r="N37" s="2"/>
    </row>
    <row r="38" spans="1:16" hidden="1" x14ac:dyDescent="0.3">
      <c r="M38" s="2"/>
      <c r="N38" s="2"/>
    </row>
    <row r="39" spans="1:16" ht="28.8" hidden="1" x14ac:dyDescent="0.3">
      <c r="L39" s="5" t="s">
        <v>17</v>
      </c>
      <c r="M39" s="21" t="s">
        <v>54</v>
      </c>
      <c r="N39" s="21" t="s">
        <v>53</v>
      </c>
      <c r="O39" s="42" t="s">
        <v>34</v>
      </c>
    </row>
    <row r="40" spans="1:16" ht="15.6" hidden="1" x14ac:dyDescent="0.3">
      <c r="K40" s="5" t="s">
        <v>10</v>
      </c>
      <c r="L40" s="8" t="s">
        <v>18</v>
      </c>
      <c r="M40" s="6">
        <v>0</v>
      </c>
      <c r="N40" s="44" t="s">
        <v>18</v>
      </c>
      <c r="O40" s="6" t="s">
        <v>35</v>
      </c>
      <c r="P40" s="10"/>
    </row>
    <row r="41" spans="1:16" hidden="1" x14ac:dyDescent="0.3">
      <c r="K41" s="81" t="str">
        <f>IF(MAESTRO!A1="","",MAESTRO!A1)</f>
        <v>******SUCURSALES</v>
      </c>
      <c r="L41" s="43" t="s">
        <v>19</v>
      </c>
      <c r="M41" s="15">
        <v>1</v>
      </c>
      <c r="N41" s="43" t="s">
        <v>19</v>
      </c>
      <c r="O41" s="6" t="s">
        <v>36</v>
      </c>
    </row>
    <row r="42" spans="1:16" hidden="1" x14ac:dyDescent="0.3">
      <c r="K42" s="81" t="str">
        <f>IF(MAESTRO!A2="","",MAESTRO!A2)</f>
        <v>LA CASA DE LA CAÑA, C.A. (T. ALTERNA)</v>
      </c>
      <c r="M42" s="16">
        <v>2</v>
      </c>
      <c r="N42" s="16"/>
      <c r="O42" s="6" t="s">
        <v>37</v>
      </c>
    </row>
    <row r="43" spans="1:16" hidden="1" x14ac:dyDescent="0.3">
      <c r="K43" s="81" t="str">
        <f>IF(MAESTRO!A3="","",MAESTRO!A3)</f>
        <v>LA CASA DE LA CAÑA, C.A. (T. ANACO)</v>
      </c>
      <c r="M43" s="16">
        <v>3</v>
      </c>
      <c r="N43" s="16"/>
      <c r="O43" s="6" t="s">
        <v>38</v>
      </c>
    </row>
    <row r="44" spans="1:16" hidden="1" x14ac:dyDescent="0.3">
      <c r="K44" s="81" t="str">
        <f>IF(MAESTRO!A4="","",MAESTRO!A4)</f>
        <v>LA CASA DE LA CAÑA, C.A. (T. CUMANÁ)</v>
      </c>
      <c r="L44" s="81"/>
      <c r="M44" s="16">
        <v>4</v>
      </c>
      <c r="N44" s="15"/>
      <c r="O44" s="6" t="s">
        <v>39</v>
      </c>
    </row>
    <row r="45" spans="1:16" hidden="1" x14ac:dyDescent="0.3">
      <c r="K45" s="81" t="str">
        <f>IF(MAESTRO!A5="","",MAESTRO!A5)</f>
        <v>LA CASA DE LA CAÑA, C.A. (T. MATURÍN I)</v>
      </c>
      <c r="L45" s="81"/>
      <c r="M45" s="15">
        <v>5</v>
      </c>
      <c r="N45" s="15"/>
      <c r="O45" s="6" t="s">
        <v>40</v>
      </c>
    </row>
    <row r="46" spans="1:16" hidden="1" x14ac:dyDescent="0.3">
      <c r="K46" s="81" t="str">
        <f>IF(MAESTRO!A6="","",MAESTRO!A6)</f>
        <v>LA CASA DE LA CAÑA, C.A. (T. MATURÍN II)</v>
      </c>
      <c r="L46" s="81"/>
      <c r="M46" s="15">
        <v>6</v>
      </c>
      <c r="N46" s="15"/>
      <c r="O46" s="6" t="s">
        <v>41</v>
      </c>
    </row>
    <row r="47" spans="1:16" hidden="1" x14ac:dyDescent="0.3">
      <c r="K47" s="81" t="str">
        <f>IF(MAESTRO!A7="","",MAESTRO!A7)</f>
        <v>LA CASA DE LA CAÑA, C.A. (T. NVA. BARCELONA)</v>
      </c>
      <c r="L47" s="81"/>
      <c r="M47" s="15">
        <v>7</v>
      </c>
      <c r="N47" s="15"/>
      <c r="O47" s="6" t="s">
        <v>42</v>
      </c>
    </row>
    <row r="48" spans="1:16" hidden="1" x14ac:dyDescent="0.3">
      <c r="K48" s="81" t="str">
        <f>IF(MAESTRO!A8="","",MAESTRO!A8)</f>
        <v>INVERSIONES CAÑANDONGA,C.A (T. CONEJERO)</v>
      </c>
      <c r="L48" s="81"/>
      <c r="M48" s="15">
        <v>8</v>
      </c>
      <c r="N48" s="15"/>
      <c r="O48" s="6" t="s">
        <v>43</v>
      </c>
    </row>
    <row r="49" spans="5:15" hidden="1" x14ac:dyDescent="0.3">
      <c r="E49" s="2"/>
      <c r="F49" s="2"/>
      <c r="G49" s="2"/>
      <c r="K49" s="81" t="str">
        <f>IF(MAESTRO!A9="","",MAESTRO!A9)</f>
        <v>OPERADORA EL MERCADO 2011, C.A. (T. MERCADO)</v>
      </c>
      <c r="L49" s="81"/>
      <c r="M49" s="15">
        <v>9</v>
      </c>
      <c r="N49" s="15"/>
      <c r="O49" s="6" t="s">
        <v>44</v>
      </c>
    </row>
    <row r="50" spans="5:15" hidden="1" x14ac:dyDescent="0.3">
      <c r="E50" s="2"/>
      <c r="F50" s="2"/>
      <c r="G50" s="2"/>
      <c r="K50" s="81" t="str">
        <f>IF(MAESTRO!A10="","",MAESTRO!A10)</f>
        <v>OPERADORA EL PUENTE 2011, C.A. (T. PUENTE REAL)</v>
      </c>
      <c r="L50" s="81"/>
      <c r="M50" s="15">
        <v>10</v>
      </c>
      <c r="N50" s="15"/>
      <c r="O50" s="6" t="s">
        <v>45</v>
      </c>
    </row>
    <row r="51" spans="5:15" hidden="1" x14ac:dyDescent="0.3">
      <c r="E51" s="2"/>
      <c r="F51" s="2"/>
      <c r="G51" s="2"/>
      <c r="K51" s="81" t="str">
        <f>IF(MAESTRO!A11="","",MAESTRO!A11)</f>
        <v>OPERADORA LECHERÍA 2011, C.A. (T. LECHERÍA)</v>
      </c>
      <c r="L51" s="81"/>
      <c r="M51" s="15">
        <v>11</v>
      </c>
      <c r="N51" s="15"/>
      <c r="O51" s="6" t="s">
        <v>46</v>
      </c>
    </row>
    <row r="52" spans="5:15" hidden="1" x14ac:dyDescent="0.3">
      <c r="E52" s="2"/>
      <c r="F52" s="2"/>
      <c r="G52" s="2"/>
      <c r="K52" s="81" t="str">
        <f>IF(MAESTRO!A12="","",MAESTRO!A12)</f>
        <v>OPERADORA PUERTO LA CRUZ 2011, C.A. (T. PUERTO LA CRUZ)</v>
      </c>
      <c r="L52" s="81"/>
      <c r="M52" s="15">
        <v>12</v>
      </c>
      <c r="N52" s="15"/>
      <c r="O52" s="6"/>
    </row>
    <row r="53" spans="5:15" hidden="1" x14ac:dyDescent="0.3">
      <c r="E53" s="2"/>
      <c r="F53" s="2"/>
      <c r="G53" s="2"/>
      <c r="K53" s="81" t="str">
        <f>IF(MAESTRO!A13="","",MAESTRO!A13)</f>
        <v>OPERADORA PUERTO ORDAZ 2013, C.A.(T. PUERTO ORDAZ)</v>
      </c>
      <c r="L53" s="81"/>
      <c r="M53" s="15">
        <v>13</v>
      </c>
      <c r="N53" s="15"/>
      <c r="O53" s="6"/>
    </row>
    <row r="54" spans="5:15" hidden="1" x14ac:dyDescent="0.3">
      <c r="E54" s="2"/>
      <c r="F54" s="2"/>
      <c r="G54" s="2"/>
      <c r="K54" s="81" t="str">
        <f>IF(MAESTRO!A14="","",MAESTRO!A14)</f>
        <v>OPERADORA LAS AMERICAS, C.A</v>
      </c>
      <c r="L54" s="81"/>
      <c r="M54" s="15">
        <v>14</v>
      </c>
      <c r="N54" s="15"/>
      <c r="O54" s="6"/>
    </row>
    <row r="55" spans="5:15" hidden="1" x14ac:dyDescent="0.3">
      <c r="E55" s="2"/>
      <c r="F55" s="2"/>
      <c r="G55" s="2"/>
      <c r="K55" s="8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81" t="str">
        <f>IF(MAESTRO!A16="","",MAESTRO!A16)</f>
        <v>RELIVE, C.A. (T. CHUPARÍN)</v>
      </c>
    </row>
    <row r="57" spans="5:15" hidden="1" x14ac:dyDescent="0.3">
      <c r="K57" s="81" t="str">
        <f>IF(MAESTRO!A17="","",MAESTRO!A17)</f>
        <v>RELIVE, C.A. (T. TERRAZAS)</v>
      </c>
    </row>
    <row r="58" spans="5:15" hidden="1" x14ac:dyDescent="0.3">
      <c r="K58" s="81" t="str">
        <f>IF(MAESTRO!A18="","",MAESTRO!A18)</f>
        <v>RELIVE, C.A. (T. TIGRE II)</v>
      </c>
    </row>
    <row r="59" spans="5:15" hidden="1" x14ac:dyDescent="0.3">
      <c r="K59" s="81" t="str">
        <f>IF(MAESTRO!A19="","",MAESTRO!A19)</f>
        <v>RELIVE, C.A. (T. TIGRE III)</v>
      </c>
    </row>
    <row r="60" spans="5:15" hidden="1" x14ac:dyDescent="0.3">
      <c r="K60" s="81" t="s">
        <v>129</v>
      </c>
    </row>
    <row r="61" spans="5:15" x14ac:dyDescent="0.3">
      <c r="K61" s="81" t="str">
        <f>IF(MAESTRO!A21="","",MAESTRO!A21)</f>
        <v/>
      </c>
    </row>
  </sheetData>
  <sheetProtection selectLockedCells="1"/>
  <dataConsolidate/>
  <mergeCells count="49">
    <mergeCell ref="B10:C10"/>
    <mergeCell ref="H10:K10"/>
    <mergeCell ref="A1:B3"/>
    <mergeCell ref="C1:H3"/>
    <mergeCell ref="J1:K1"/>
    <mergeCell ref="J3:K3"/>
    <mergeCell ref="C5:G5"/>
    <mergeCell ref="I5:J5"/>
    <mergeCell ref="A7:K7"/>
    <mergeCell ref="B8:C8"/>
    <mergeCell ref="H8:K8"/>
    <mergeCell ref="B9:C9"/>
    <mergeCell ref="H9:K9"/>
    <mergeCell ref="B11:C11"/>
    <mergeCell ref="H11:K11"/>
    <mergeCell ref="B12:C12"/>
    <mergeCell ref="H12:K12"/>
    <mergeCell ref="B13:C13"/>
    <mergeCell ref="H13:K13"/>
    <mergeCell ref="B14:C14"/>
    <mergeCell ref="H14:K14"/>
    <mergeCell ref="A15:A22"/>
    <mergeCell ref="B15:C22"/>
    <mergeCell ref="D15:D22"/>
    <mergeCell ref="E15:E22"/>
    <mergeCell ref="F15:F22"/>
    <mergeCell ref="G15:G22"/>
    <mergeCell ref="H22:K22"/>
    <mergeCell ref="B23:C23"/>
    <mergeCell ref="H23:K23"/>
    <mergeCell ref="B24:C24"/>
    <mergeCell ref="H24:K24"/>
    <mergeCell ref="B25:C25"/>
    <mergeCell ref="H25:K25"/>
    <mergeCell ref="B26:C26"/>
    <mergeCell ref="H26:K26"/>
    <mergeCell ref="B27:C27"/>
    <mergeCell ref="H27:K27"/>
    <mergeCell ref="B28:C28"/>
    <mergeCell ref="H28:K28"/>
    <mergeCell ref="A33:B33"/>
    <mergeCell ref="C33:D33"/>
    <mergeCell ref="A35:K36"/>
    <mergeCell ref="B29:C29"/>
    <mergeCell ref="H29:K29"/>
    <mergeCell ref="A30:F30"/>
    <mergeCell ref="G30:K30"/>
    <mergeCell ref="A32:B32"/>
    <mergeCell ref="C32:D32"/>
  </mergeCells>
  <dataValidations count="4">
    <dataValidation type="list" allowBlank="1" showInputMessage="1" showErrorMessage="1" sqref="D10:D14 D23:D25 D27:D29 D26:F26" xr:uid="{00000000-0002-0000-1300-000000000000}">
      <formula1>$M$33:$M$49</formula1>
    </dataValidation>
    <dataValidation type="list" allowBlank="1" showInputMessage="1" showErrorMessage="1" sqref="D9" xr:uid="{00000000-0002-0000-1300-000001000000}">
      <formula1>$M$33:$M$48</formula1>
    </dataValidation>
    <dataValidation type="list" allowBlank="1" showInputMessage="1" showErrorMessage="1" sqref="D15 E9:F15 E23:F25 E27:F29" xr:uid="{00000000-0002-0000-1300-000002000000}">
      <formula1>$M$41:$M$55</formula1>
    </dataValidation>
    <dataValidation type="list" allowBlank="1" showInputMessage="1" showErrorMessage="1" sqref="C5:G5" xr:uid="{00000000-0002-0000-1300-000003000000}">
      <formula1>$K$42:$K$60</formula1>
    </dataValidation>
  </dataValidations>
  <pageMargins left="0.39370078740157483" right="0.39370078740157483" top="0.59055118110236227" bottom="0.59055118110236227" header="0.31496062992125984" footer="0.31496062992125984"/>
  <pageSetup scale="67" orientation="portrait" r:id="rId1"/>
  <headerFooter>
    <oddFooter>&amp;RPág. &amp;P - 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61"/>
  <sheetViews>
    <sheetView view="pageBreakPreview" topLeftCell="A10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15.109375" style="2" customWidth="1" collapsed="1"/>
    <col min="3" max="3" width="23.55468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3.33203125" style="2" customWidth="1" collapsed="1"/>
    <col min="12" max="12" width="14.44140625" style="2" customWidth="1" collapsed="1"/>
    <col min="13" max="14" width="11.44140625" style="6" customWidth="1" collapsed="1"/>
    <col min="15" max="16" width="11.44140625" style="2" customWidth="1" collapsed="1"/>
    <col min="17" max="17" width="0" style="2" hidden="1" customWidth="1" collapsed="1"/>
    <col min="18" max="18" width="11.44140625" style="2" hidden="1" customWidth="1" collapsed="1"/>
    <col min="19" max="19" width="0" style="2" hidden="1" customWidth="1" collapsed="1"/>
    <col min="20" max="16384" width="11.44140625" style="2" collapsed="1"/>
  </cols>
  <sheetData>
    <row r="1" spans="1:18" ht="15" customHeight="1" x14ac:dyDescent="0.3">
      <c r="A1" s="149"/>
      <c r="B1" s="149"/>
      <c r="C1" s="156" t="s">
        <v>16</v>
      </c>
      <c r="D1" s="157"/>
      <c r="E1" s="157"/>
      <c r="F1" s="157"/>
      <c r="G1" s="157"/>
      <c r="H1" s="158"/>
      <c r="I1" s="30" t="s">
        <v>25</v>
      </c>
      <c r="J1" s="210" t="s">
        <v>49</v>
      </c>
      <c r="K1" s="211"/>
    </row>
    <row r="2" spans="1:18" ht="20.2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18" x14ac:dyDescent="0.3">
      <c r="A3" s="149"/>
      <c r="B3" s="149"/>
      <c r="C3" s="162"/>
      <c r="D3" s="163"/>
      <c r="E3" s="163"/>
      <c r="F3" s="163"/>
      <c r="G3" s="163"/>
      <c r="H3" s="164"/>
      <c r="I3" s="30" t="s">
        <v>27</v>
      </c>
      <c r="J3" s="154">
        <v>42286</v>
      </c>
      <c r="K3" s="155"/>
    </row>
    <row r="4" spans="1:18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8" ht="15.75" customHeight="1" x14ac:dyDescent="0.3">
      <c r="A5" s="3"/>
      <c r="B5" s="13" t="s">
        <v>32</v>
      </c>
      <c r="C5" s="150" t="s">
        <v>144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18" ht="15.75" customHeight="1" x14ac:dyDescent="0.3">
      <c r="A6" s="18"/>
      <c r="E6" s="19"/>
      <c r="F6" s="19"/>
      <c r="G6" s="11"/>
    </row>
    <row r="7" spans="1:18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8" ht="28.8" x14ac:dyDescent="0.3">
      <c r="A8" s="108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18" ht="18" customHeight="1" x14ac:dyDescent="0.3">
      <c r="A9" s="29">
        <v>1</v>
      </c>
      <c r="B9" s="124" t="s">
        <v>29</v>
      </c>
      <c r="C9" s="125"/>
      <c r="D9" s="28">
        <v>5</v>
      </c>
      <c r="E9" s="7">
        <v>5</v>
      </c>
      <c r="F9" s="7">
        <v>5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  <c r="R9" s="2" t="s">
        <v>2</v>
      </c>
    </row>
    <row r="10" spans="1:18" ht="18" customHeight="1" x14ac:dyDescent="0.3">
      <c r="A10" s="29">
        <v>2</v>
      </c>
      <c r="B10" s="124" t="s">
        <v>28</v>
      </c>
      <c r="C10" s="125"/>
      <c r="D10" s="28">
        <v>5</v>
      </c>
      <c r="E10" s="7">
        <v>5</v>
      </c>
      <c r="F10" s="7">
        <v>5</v>
      </c>
      <c r="G10" s="22">
        <f t="shared" ref="G10:G29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R10" s="2" t="s">
        <v>48</v>
      </c>
    </row>
    <row r="11" spans="1:18" ht="18" customHeight="1" x14ac:dyDescent="0.3">
      <c r="A11" s="29">
        <v>3</v>
      </c>
      <c r="B11" s="124" t="s">
        <v>31</v>
      </c>
      <c r="C11" s="125"/>
      <c r="D11" s="28">
        <v>5</v>
      </c>
      <c r="E11" s="7">
        <v>5</v>
      </c>
      <c r="F11" s="7">
        <v>5</v>
      </c>
      <c r="G11" s="22">
        <f t="shared" si="0"/>
        <v>1</v>
      </c>
      <c r="H11" s="134"/>
      <c r="I11" s="134"/>
      <c r="J11" s="134"/>
      <c r="K11" s="134"/>
      <c r="R11" s="2" t="s">
        <v>121</v>
      </c>
    </row>
    <row r="12" spans="1:18" ht="18" customHeight="1" x14ac:dyDescent="0.3">
      <c r="A12" s="29">
        <v>4</v>
      </c>
      <c r="B12" s="124" t="s">
        <v>30</v>
      </c>
      <c r="C12" s="125"/>
      <c r="D12" s="28">
        <v>5</v>
      </c>
      <c r="E12" s="7">
        <v>5</v>
      </c>
      <c r="F12" s="7">
        <v>5</v>
      </c>
      <c r="G12" s="22">
        <f t="shared" si="0"/>
        <v>1</v>
      </c>
      <c r="H12" s="134"/>
      <c r="I12" s="134"/>
      <c r="J12" s="134"/>
      <c r="K12" s="134"/>
      <c r="R12" s="2" t="s">
        <v>13</v>
      </c>
    </row>
    <row r="13" spans="1:18" ht="18" customHeight="1" x14ac:dyDescent="0.3">
      <c r="A13" s="29">
        <v>5</v>
      </c>
      <c r="B13" s="124" t="s">
        <v>22</v>
      </c>
      <c r="C13" s="125"/>
      <c r="D13" s="28">
        <v>5</v>
      </c>
      <c r="E13" s="7">
        <v>5</v>
      </c>
      <c r="F13" s="7">
        <v>5</v>
      </c>
      <c r="G13" s="22">
        <f t="shared" si="0"/>
        <v>1</v>
      </c>
      <c r="H13" s="134"/>
      <c r="I13" s="134"/>
      <c r="J13" s="134"/>
      <c r="K13" s="134"/>
      <c r="R13" s="2" t="s">
        <v>47</v>
      </c>
    </row>
    <row r="14" spans="1:18" ht="18" customHeight="1" x14ac:dyDescent="0.3">
      <c r="A14" s="29">
        <v>6</v>
      </c>
      <c r="B14" s="126" t="s">
        <v>55</v>
      </c>
      <c r="C14" s="127"/>
      <c r="D14" s="28">
        <v>1</v>
      </c>
      <c r="E14" s="7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R14" s="2" t="s">
        <v>12</v>
      </c>
    </row>
    <row r="15" spans="1:18" ht="18" customHeight="1" x14ac:dyDescent="0.3">
      <c r="A15" s="117">
        <v>7</v>
      </c>
      <c r="B15" s="135" t="s">
        <v>24</v>
      </c>
      <c r="C15" s="136"/>
      <c r="D15" s="141">
        <v>4</v>
      </c>
      <c r="E15" s="144">
        <v>4</v>
      </c>
      <c r="F15" s="144">
        <v>4</v>
      </c>
      <c r="G15" s="128">
        <f>IF(D15="","",IF(D15=0,"-",IF(F15&gt;D15,"ERROR",IF(E15&gt;D15,"ERROR",IF(E15&lt;D15,0,IF(E15&gt;F15,0,IF(F15=D15,1,0)))))))</f>
        <v>1</v>
      </c>
      <c r="H15" s="51" t="s">
        <v>63</v>
      </c>
      <c r="I15" s="65"/>
      <c r="J15" s="51" t="s">
        <v>62</v>
      </c>
      <c r="K15" s="107"/>
      <c r="R15" s="2" t="s">
        <v>122</v>
      </c>
    </row>
    <row r="16" spans="1:18" ht="18" customHeight="1" x14ac:dyDescent="0.3">
      <c r="A16" s="118"/>
      <c r="B16" s="137"/>
      <c r="C16" s="138"/>
      <c r="D16" s="142"/>
      <c r="E16" s="145"/>
      <c r="F16" s="145"/>
      <c r="G16" s="129"/>
      <c r="H16" s="51" t="s">
        <v>64</v>
      </c>
      <c r="I16" s="62"/>
      <c r="J16" s="51" t="s">
        <v>62</v>
      </c>
      <c r="K16" s="107"/>
      <c r="M16" s="2"/>
      <c r="N16" s="2"/>
      <c r="R16" s="2" t="s">
        <v>123</v>
      </c>
    </row>
    <row r="17" spans="1:18" ht="18" customHeight="1" x14ac:dyDescent="0.3">
      <c r="A17" s="118"/>
      <c r="B17" s="137"/>
      <c r="C17" s="138"/>
      <c r="D17" s="142"/>
      <c r="E17" s="145"/>
      <c r="F17" s="145"/>
      <c r="G17" s="129"/>
      <c r="H17" s="51" t="s">
        <v>65</v>
      </c>
      <c r="I17" s="62"/>
      <c r="J17" s="51" t="s">
        <v>62</v>
      </c>
      <c r="K17" s="107"/>
      <c r="M17" s="2"/>
      <c r="N17" s="2"/>
      <c r="R17" s="2" t="s">
        <v>14</v>
      </c>
    </row>
    <row r="18" spans="1:18" ht="18" customHeight="1" x14ac:dyDescent="0.3">
      <c r="A18" s="118"/>
      <c r="B18" s="137"/>
      <c r="C18" s="138"/>
      <c r="D18" s="142"/>
      <c r="E18" s="145"/>
      <c r="F18" s="145"/>
      <c r="G18" s="129"/>
      <c r="H18" s="51" t="s">
        <v>66</v>
      </c>
      <c r="I18" s="73"/>
      <c r="J18" s="51" t="s">
        <v>62</v>
      </c>
      <c r="K18" s="107"/>
      <c r="M18" s="2"/>
      <c r="N18" s="2"/>
      <c r="R18" s="2" t="s">
        <v>6</v>
      </c>
    </row>
    <row r="19" spans="1:18" ht="18" customHeight="1" x14ac:dyDescent="0.3">
      <c r="A19" s="118"/>
      <c r="B19" s="137"/>
      <c r="C19" s="138"/>
      <c r="D19" s="142"/>
      <c r="E19" s="145"/>
      <c r="F19" s="145"/>
      <c r="G19" s="129"/>
      <c r="H19" s="51" t="s">
        <v>67</v>
      </c>
      <c r="I19" s="74"/>
      <c r="J19" s="51" t="s">
        <v>62</v>
      </c>
      <c r="K19" s="107"/>
      <c r="M19" s="2"/>
      <c r="N19" s="2"/>
      <c r="R19" s="2" t="s">
        <v>78</v>
      </c>
    </row>
    <row r="20" spans="1:18" ht="18" customHeight="1" x14ac:dyDescent="0.3">
      <c r="A20" s="118"/>
      <c r="B20" s="137"/>
      <c r="C20" s="138"/>
      <c r="D20" s="142"/>
      <c r="E20" s="145"/>
      <c r="F20" s="145"/>
      <c r="G20" s="129"/>
      <c r="H20" s="51" t="s">
        <v>68</v>
      </c>
      <c r="I20" s="62"/>
      <c r="J20" s="51" t="s">
        <v>62</v>
      </c>
      <c r="K20" s="107"/>
      <c r="M20" s="2"/>
      <c r="N20" s="2"/>
      <c r="R20" s="2" t="s">
        <v>7</v>
      </c>
    </row>
    <row r="21" spans="1:18" ht="18.75" customHeight="1" x14ac:dyDescent="0.3">
      <c r="A21" s="118"/>
      <c r="B21" s="137"/>
      <c r="C21" s="138"/>
      <c r="D21" s="142"/>
      <c r="E21" s="145"/>
      <c r="F21" s="145"/>
      <c r="G21" s="129"/>
      <c r="H21" s="51" t="s">
        <v>69</v>
      </c>
      <c r="I21" s="62"/>
      <c r="J21" s="51" t="s">
        <v>62</v>
      </c>
      <c r="K21" s="107"/>
      <c r="L21" s="4"/>
      <c r="M21" s="2"/>
      <c r="N21" s="2"/>
      <c r="R21" s="2" t="s">
        <v>124</v>
      </c>
    </row>
    <row r="22" spans="1:18" ht="18.75" customHeight="1" x14ac:dyDescent="0.3">
      <c r="A22" s="119"/>
      <c r="B22" s="139"/>
      <c r="C22" s="140"/>
      <c r="D22" s="143"/>
      <c r="E22" s="146"/>
      <c r="F22" s="146"/>
      <c r="G22" s="130"/>
      <c r="H22" s="131"/>
      <c r="I22" s="132"/>
      <c r="J22" s="132"/>
      <c r="K22" s="133"/>
      <c r="L22" s="4"/>
      <c r="M22" s="2"/>
      <c r="N22" s="2"/>
      <c r="R22" s="2" t="s">
        <v>125</v>
      </c>
    </row>
    <row r="23" spans="1:18" ht="18" customHeight="1" x14ac:dyDescent="0.3">
      <c r="A23" s="29">
        <v>8</v>
      </c>
      <c r="B23" s="126" t="s">
        <v>21</v>
      </c>
      <c r="C23" s="127"/>
      <c r="D23" s="28">
        <v>1</v>
      </c>
      <c r="E23" s="7">
        <v>1</v>
      </c>
      <c r="F23" s="7">
        <v>1</v>
      </c>
      <c r="G23" s="22">
        <f t="shared" si="0"/>
        <v>1</v>
      </c>
      <c r="H23" s="134"/>
      <c r="I23" s="134"/>
      <c r="J23" s="134"/>
      <c r="K23" s="134"/>
      <c r="M23" s="2"/>
      <c r="N23" s="2"/>
      <c r="R23" s="2" t="s">
        <v>126</v>
      </c>
    </row>
    <row r="24" spans="1:18" ht="18" customHeight="1" x14ac:dyDescent="0.3">
      <c r="A24" s="29">
        <v>9</v>
      </c>
      <c r="B24" s="126" t="s">
        <v>20</v>
      </c>
      <c r="C24" s="127"/>
      <c r="D24" s="28">
        <v>1</v>
      </c>
      <c r="E24" s="7">
        <v>1</v>
      </c>
      <c r="F24" s="7">
        <v>1</v>
      </c>
      <c r="G24" s="22">
        <f t="shared" si="0"/>
        <v>1</v>
      </c>
      <c r="H24" s="134"/>
      <c r="I24" s="134"/>
      <c r="J24" s="134"/>
      <c r="K24" s="134"/>
      <c r="M24" s="2"/>
      <c r="N24" s="2"/>
      <c r="R24" s="2" t="s">
        <v>127</v>
      </c>
    </row>
    <row r="25" spans="1:18" ht="18" customHeight="1" x14ac:dyDescent="0.3">
      <c r="A25" s="29">
        <v>10</v>
      </c>
      <c r="B25" s="124" t="s">
        <v>8</v>
      </c>
      <c r="C25" s="125"/>
      <c r="D25" s="28">
        <v>5</v>
      </c>
      <c r="E25" s="7">
        <v>5</v>
      </c>
      <c r="F25" s="7">
        <v>5</v>
      </c>
      <c r="G25" s="22">
        <f t="shared" si="0"/>
        <v>1</v>
      </c>
      <c r="H25" s="134"/>
      <c r="I25" s="134"/>
      <c r="J25" s="134"/>
      <c r="K25" s="134"/>
      <c r="M25" s="2"/>
      <c r="N25" s="2"/>
      <c r="R25" s="2" t="s">
        <v>128</v>
      </c>
    </row>
    <row r="26" spans="1:18" ht="18" customHeight="1" x14ac:dyDescent="0.3">
      <c r="A26" s="29">
        <v>11</v>
      </c>
      <c r="B26" s="122" t="s">
        <v>132</v>
      </c>
      <c r="C26" s="123"/>
      <c r="D26" s="28">
        <v>1</v>
      </c>
      <c r="E26" s="28">
        <v>1</v>
      </c>
      <c r="F26" s="28">
        <v>1</v>
      </c>
      <c r="G26" s="22">
        <f t="shared" si="0"/>
        <v>1</v>
      </c>
      <c r="H26" s="175"/>
      <c r="I26" s="176"/>
      <c r="J26" s="176"/>
      <c r="K26" s="177"/>
      <c r="M26" s="2"/>
      <c r="N26" s="2"/>
      <c r="R26" s="2" t="s">
        <v>129</v>
      </c>
    </row>
    <row r="27" spans="1:18" ht="18" customHeight="1" x14ac:dyDescent="0.3">
      <c r="A27" s="29">
        <v>12</v>
      </c>
      <c r="B27" s="120" t="s">
        <v>60</v>
      </c>
      <c r="C27" s="121"/>
      <c r="D27" s="28">
        <v>1</v>
      </c>
      <c r="E27" s="7">
        <v>1</v>
      </c>
      <c r="F27" s="7">
        <v>1</v>
      </c>
      <c r="G27" s="22">
        <f t="shared" si="0"/>
        <v>1</v>
      </c>
      <c r="H27" s="134"/>
      <c r="I27" s="134"/>
      <c r="J27" s="134"/>
      <c r="K27" s="134"/>
      <c r="R27" s="2" t="s">
        <v>130</v>
      </c>
    </row>
    <row r="28" spans="1:18" ht="18" customHeight="1" x14ac:dyDescent="0.3">
      <c r="A28" s="29">
        <v>13</v>
      </c>
      <c r="B28" s="195" t="s">
        <v>56</v>
      </c>
      <c r="C28" s="196"/>
      <c r="D28" s="110">
        <v>1</v>
      </c>
      <c r="E28" s="7">
        <v>1</v>
      </c>
      <c r="F28" s="7">
        <v>1</v>
      </c>
      <c r="G28" s="109">
        <f t="shared" si="0"/>
        <v>1</v>
      </c>
      <c r="H28" s="197"/>
      <c r="I28" s="197"/>
      <c r="J28" s="197"/>
      <c r="K28" s="197"/>
      <c r="R28" s="2" t="s">
        <v>144</v>
      </c>
    </row>
    <row r="29" spans="1:18" ht="18" customHeight="1" thickBot="1" x14ac:dyDescent="0.35">
      <c r="A29" s="29">
        <v>14</v>
      </c>
      <c r="B29" s="203" t="s">
        <v>70</v>
      </c>
      <c r="C29" s="204"/>
      <c r="D29" s="28">
        <v>4</v>
      </c>
      <c r="E29" s="7">
        <v>4</v>
      </c>
      <c r="F29" s="7">
        <v>4</v>
      </c>
      <c r="G29" s="22">
        <f t="shared" si="0"/>
        <v>1</v>
      </c>
      <c r="H29" s="134"/>
      <c r="I29" s="134"/>
      <c r="J29" s="134"/>
      <c r="K29" s="134"/>
    </row>
    <row r="30" spans="1:18" ht="19.5" customHeight="1" thickBot="1" x14ac:dyDescent="0.35">
      <c r="A30" s="198" t="s">
        <v>57</v>
      </c>
      <c r="B30" s="199"/>
      <c r="C30" s="199"/>
      <c r="D30" s="199"/>
      <c r="E30" s="199"/>
      <c r="F30" s="199"/>
      <c r="G30" s="200">
        <f>IFERROR(AVERAGE(G9:G28),"-")</f>
        <v>1</v>
      </c>
      <c r="H30" s="201"/>
      <c r="I30" s="201"/>
      <c r="J30" s="201"/>
      <c r="K30" s="202"/>
    </row>
    <row r="31" spans="1:18" ht="17.25" customHeight="1" x14ac:dyDescent="0.3">
      <c r="A31" s="34"/>
      <c r="E31" s="17"/>
      <c r="F31" s="35"/>
      <c r="G31" s="36"/>
      <c r="H31" s="25"/>
      <c r="I31" s="37"/>
      <c r="J31" s="23"/>
    </row>
    <row r="32" spans="1:18" ht="28.5" customHeight="1" x14ac:dyDescent="0.3">
      <c r="A32" s="193" t="s">
        <v>59</v>
      </c>
      <c r="B32" s="193"/>
      <c r="C32" s="194" t="s">
        <v>145</v>
      </c>
      <c r="D32" s="194"/>
      <c r="E32" s="38"/>
      <c r="F32" s="38"/>
      <c r="G32" s="24"/>
      <c r="H32" s="25"/>
      <c r="I32" s="26"/>
      <c r="J32" s="25"/>
    </row>
    <row r="33" spans="1:16" x14ac:dyDescent="0.3">
      <c r="A33" s="193" t="s">
        <v>61</v>
      </c>
      <c r="B33" s="193"/>
      <c r="C33" s="184" t="s">
        <v>89</v>
      </c>
      <c r="D33" s="185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92" t="s">
        <v>58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</row>
    <row r="36" spans="1:16" x14ac:dyDescent="0.3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M36" s="2"/>
      <c r="N36" s="2"/>
    </row>
    <row r="37" spans="1:16" hidden="1" x14ac:dyDescent="0.3">
      <c r="M37" s="2"/>
      <c r="N37" s="2"/>
    </row>
    <row r="38" spans="1:16" hidden="1" x14ac:dyDescent="0.3">
      <c r="M38" s="2"/>
      <c r="N38" s="2"/>
    </row>
    <row r="39" spans="1:16" ht="28.8" hidden="1" x14ac:dyDescent="0.3">
      <c r="L39" s="5" t="s">
        <v>17</v>
      </c>
      <c r="M39" s="21" t="s">
        <v>54</v>
      </c>
      <c r="N39" s="21" t="s">
        <v>53</v>
      </c>
      <c r="O39" s="42" t="s">
        <v>34</v>
      </c>
    </row>
    <row r="40" spans="1:16" ht="15.6" hidden="1" x14ac:dyDescent="0.3">
      <c r="K40" s="5" t="s">
        <v>10</v>
      </c>
      <c r="L40" s="8" t="s">
        <v>18</v>
      </c>
      <c r="M40" s="6">
        <v>0</v>
      </c>
      <c r="N40" s="44" t="s">
        <v>18</v>
      </c>
      <c r="O40" s="6" t="s">
        <v>35</v>
      </c>
      <c r="P40" s="10"/>
    </row>
    <row r="41" spans="1:16" hidden="1" x14ac:dyDescent="0.3">
      <c r="K41" s="81" t="str">
        <f>IF(MAESTRO!A1="","",MAESTRO!A1)</f>
        <v>******SUCURSALES</v>
      </c>
      <c r="L41" s="43" t="s">
        <v>19</v>
      </c>
      <c r="M41" s="15">
        <v>1</v>
      </c>
      <c r="N41" s="43" t="s">
        <v>19</v>
      </c>
      <c r="O41" s="6" t="s">
        <v>36</v>
      </c>
    </row>
    <row r="42" spans="1:16" hidden="1" x14ac:dyDescent="0.3">
      <c r="K42" s="81" t="str">
        <f>IF(MAESTRO!A2="","",MAESTRO!A2)</f>
        <v>LA CASA DE LA CAÑA, C.A. (T. ALTERNA)</v>
      </c>
      <c r="M42" s="16">
        <v>2</v>
      </c>
      <c r="N42" s="16"/>
      <c r="O42" s="6" t="s">
        <v>37</v>
      </c>
    </row>
    <row r="43" spans="1:16" hidden="1" x14ac:dyDescent="0.3">
      <c r="K43" s="81" t="str">
        <f>IF(MAESTRO!A3="","",MAESTRO!A3)</f>
        <v>LA CASA DE LA CAÑA, C.A. (T. ANACO)</v>
      </c>
      <c r="M43" s="16">
        <v>3</v>
      </c>
      <c r="N43" s="16"/>
      <c r="O43" s="6" t="s">
        <v>38</v>
      </c>
    </row>
    <row r="44" spans="1:16" hidden="1" x14ac:dyDescent="0.3">
      <c r="K44" s="81" t="str">
        <f>IF(MAESTRO!A4="","",MAESTRO!A4)</f>
        <v>LA CASA DE LA CAÑA, C.A. (T. CUMANÁ)</v>
      </c>
      <c r="L44" s="81"/>
      <c r="M44" s="16">
        <v>4</v>
      </c>
      <c r="N44" s="15"/>
      <c r="O44" s="6" t="s">
        <v>39</v>
      </c>
    </row>
    <row r="45" spans="1:16" hidden="1" x14ac:dyDescent="0.3">
      <c r="K45" s="81" t="str">
        <f>IF(MAESTRO!A5="","",MAESTRO!A5)</f>
        <v>LA CASA DE LA CAÑA, C.A. (T. MATURÍN I)</v>
      </c>
      <c r="L45" s="81"/>
      <c r="M45" s="15">
        <v>5</v>
      </c>
      <c r="N45" s="15"/>
      <c r="O45" s="6" t="s">
        <v>40</v>
      </c>
    </row>
    <row r="46" spans="1:16" hidden="1" x14ac:dyDescent="0.3">
      <c r="K46" s="81" t="str">
        <f>IF(MAESTRO!A6="","",MAESTRO!A6)</f>
        <v>LA CASA DE LA CAÑA, C.A. (T. MATURÍN II)</v>
      </c>
      <c r="L46" s="81"/>
      <c r="M46" s="15">
        <v>6</v>
      </c>
      <c r="N46" s="15"/>
      <c r="O46" s="6" t="s">
        <v>41</v>
      </c>
    </row>
    <row r="47" spans="1:16" hidden="1" x14ac:dyDescent="0.3">
      <c r="K47" s="81" t="str">
        <f>IF(MAESTRO!A7="","",MAESTRO!A7)</f>
        <v>LA CASA DE LA CAÑA, C.A. (T. NVA. BARCELONA)</v>
      </c>
      <c r="L47" s="81"/>
      <c r="M47" s="15">
        <v>7</v>
      </c>
      <c r="N47" s="15"/>
      <c r="O47" s="6" t="s">
        <v>42</v>
      </c>
    </row>
    <row r="48" spans="1:16" hidden="1" x14ac:dyDescent="0.3">
      <c r="K48" s="81" t="str">
        <f>IF(MAESTRO!A8="","",MAESTRO!A8)</f>
        <v>INVERSIONES CAÑANDONGA,C.A (T. CONEJERO)</v>
      </c>
      <c r="L48" s="81"/>
      <c r="M48" s="15">
        <v>8</v>
      </c>
      <c r="N48" s="15"/>
      <c r="O48" s="6" t="s">
        <v>43</v>
      </c>
    </row>
    <row r="49" spans="5:15" hidden="1" x14ac:dyDescent="0.3">
      <c r="E49" s="2"/>
      <c r="F49" s="2"/>
      <c r="G49" s="2"/>
      <c r="K49" s="81" t="str">
        <f>IF(MAESTRO!A9="","",MAESTRO!A9)</f>
        <v>OPERADORA EL MERCADO 2011, C.A. (T. MERCADO)</v>
      </c>
      <c r="L49" s="81"/>
      <c r="M49" s="15">
        <v>9</v>
      </c>
      <c r="N49" s="15"/>
      <c r="O49" s="6" t="s">
        <v>44</v>
      </c>
    </row>
    <row r="50" spans="5:15" hidden="1" x14ac:dyDescent="0.3">
      <c r="E50" s="2"/>
      <c r="F50" s="2"/>
      <c r="G50" s="2"/>
      <c r="K50" s="81" t="str">
        <f>IF(MAESTRO!A10="","",MAESTRO!A10)</f>
        <v>OPERADORA EL PUENTE 2011, C.A. (T. PUENTE REAL)</v>
      </c>
      <c r="L50" s="81"/>
      <c r="M50" s="15">
        <v>10</v>
      </c>
      <c r="N50" s="15"/>
      <c r="O50" s="6" t="s">
        <v>45</v>
      </c>
    </row>
    <row r="51" spans="5:15" hidden="1" x14ac:dyDescent="0.3">
      <c r="E51" s="2"/>
      <c r="F51" s="2"/>
      <c r="G51" s="2"/>
      <c r="K51" s="81" t="str">
        <f>IF(MAESTRO!A11="","",MAESTRO!A11)</f>
        <v>OPERADORA LECHERÍA 2011, C.A. (T. LECHERÍA)</v>
      </c>
      <c r="L51" s="81"/>
      <c r="M51" s="15">
        <v>11</v>
      </c>
      <c r="N51" s="15"/>
      <c r="O51" s="6" t="s">
        <v>46</v>
      </c>
    </row>
    <row r="52" spans="5:15" hidden="1" x14ac:dyDescent="0.3">
      <c r="E52" s="2"/>
      <c r="F52" s="2"/>
      <c r="G52" s="2"/>
      <c r="K52" s="81" t="str">
        <f>IF(MAESTRO!A12="","",MAESTRO!A12)</f>
        <v>OPERADORA PUERTO LA CRUZ 2011, C.A. (T. PUERTO LA CRUZ)</v>
      </c>
      <c r="L52" s="81"/>
      <c r="M52" s="15">
        <v>12</v>
      </c>
      <c r="N52" s="15"/>
      <c r="O52" s="6"/>
    </row>
    <row r="53" spans="5:15" hidden="1" x14ac:dyDescent="0.3">
      <c r="E53" s="2"/>
      <c r="F53" s="2"/>
      <c r="G53" s="2"/>
      <c r="K53" s="81" t="str">
        <f>IF(MAESTRO!A13="","",MAESTRO!A13)</f>
        <v>OPERADORA PUERTO ORDAZ 2013, C.A.(T. PUERTO ORDAZ)</v>
      </c>
      <c r="L53" s="81"/>
      <c r="M53" s="15">
        <v>13</v>
      </c>
      <c r="N53" s="15"/>
      <c r="O53" s="6"/>
    </row>
    <row r="54" spans="5:15" hidden="1" x14ac:dyDescent="0.3">
      <c r="E54" s="2"/>
      <c r="F54" s="2"/>
      <c r="G54" s="2"/>
      <c r="K54" s="81" t="str">
        <f>IF(MAESTRO!A14="","",MAESTRO!A14)</f>
        <v>OPERADORA LAS AMERICAS, C.A</v>
      </c>
      <c r="L54" s="81"/>
      <c r="M54" s="15">
        <v>14</v>
      </c>
      <c r="N54" s="15"/>
      <c r="O54" s="6"/>
    </row>
    <row r="55" spans="5:15" hidden="1" x14ac:dyDescent="0.3">
      <c r="E55" s="2"/>
      <c r="F55" s="2"/>
      <c r="G55" s="2"/>
      <c r="K55" s="8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81" t="str">
        <f>IF(MAESTRO!A16="","",MAESTRO!A16)</f>
        <v>RELIVE, C.A. (T. CHUPARÍN)</v>
      </c>
    </row>
    <row r="57" spans="5:15" hidden="1" x14ac:dyDescent="0.3">
      <c r="K57" s="81" t="str">
        <f>IF(MAESTRO!A17="","",MAESTRO!A17)</f>
        <v>RELIVE, C.A. (T. TERRAZAS)</v>
      </c>
    </row>
    <row r="58" spans="5:15" hidden="1" x14ac:dyDescent="0.3">
      <c r="K58" s="81" t="str">
        <f>IF(MAESTRO!A18="","",MAESTRO!A18)</f>
        <v>RELIVE, C.A. (T. TIGRE II)</v>
      </c>
    </row>
    <row r="59" spans="5:15" hidden="1" x14ac:dyDescent="0.3">
      <c r="K59" s="81" t="str">
        <f>IF(MAESTRO!A19="","",MAESTRO!A19)</f>
        <v>RELIVE, C.A. (T. TIGRE III)</v>
      </c>
    </row>
    <row r="60" spans="5:15" hidden="1" x14ac:dyDescent="0.3">
      <c r="K60" s="81" t="s">
        <v>129</v>
      </c>
    </row>
    <row r="61" spans="5:15" x14ac:dyDescent="0.3">
      <c r="K61" s="81" t="str">
        <f>IF(MAESTRO!A21="","",MAESTRO!A21)</f>
        <v/>
      </c>
    </row>
  </sheetData>
  <sheetProtection selectLockedCells="1"/>
  <dataConsolidate/>
  <mergeCells count="49">
    <mergeCell ref="A33:B33"/>
    <mergeCell ref="C33:D33"/>
    <mergeCell ref="A35:K36"/>
    <mergeCell ref="B29:C29"/>
    <mergeCell ref="H29:K29"/>
    <mergeCell ref="A30:F30"/>
    <mergeCell ref="G30:K30"/>
    <mergeCell ref="A32:B32"/>
    <mergeCell ref="C32:D32"/>
    <mergeCell ref="B26:C26"/>
    <mergeCell ref="H26:K26"/>
    <mergeCell ref="B27:C27"/>
    <mergeCell ref="H27:K27"/>
    <mergeCell ref="B28:C28"/>
    <mergeCell ref="H28:K28"/>
    <mergeCell ref="B23:C23"/>
    <mergeCell ref="H23:K23"/>
    <mergeCell ref="B24:C24"/>
    <mergeCell ref="H24:K24"/>
    <mergeCell ref="B25:C25"/>
    <mergeCell ref="H25:K25"/>
    <mergeCell ref="B14:C14"/>
    <mergeCell ref="H14:K14"/>
    <mergeCell ref="A15:A22"/>
    <mergeCell ref="B15:C22"/>
    <mergeCell ref="D15:D22"/>
    <mergeCell ref="E15:E22"/>
    <mergeCell ref="F15:F22"/>
    <mergeCell ref="G15:G22"/>
    <mergeCell ref="H22:K22"/>
    <mergeCell ref="B11:C11"/>
    <mergeCell ref="H11:K11"/>
    <mergeCell ref="B12:C12"/>
    <mergeCell ref="H12:K12"/>
    <mergeCell ref="B13:C13"/>
    <mergeCell ref="H13:K13"/>
    <mergeCell ref="B10:C10"/>
    <mergeCell ref="H10:K10"/>
    <mergeCell ref="A1:B3"/>
    <mergeCell ref="C1:H3"/>
    <mergeCell ref="J1:K1"/>
    <mergeCell ref="J3:K3"/>
    <mergeCell ref="C5:G5"/>
    <mergeCell ref="I5:J5"/>
    <mergeCell ref="A7:K7"/>
    <mergeCell ref="B8:C8"/>
    <mergeCell ref="H8:K8"/>
    <mergeCell ref="B9:C9"/>
    <mergeCell ref="H9:K9"/>
  </mergeCells>
  <dataValidations count="4">
    <dataValidation type="list" allowBlank="1" showInputMessage="1" showErrorMessage="1" sqref="C5:G5" xr:uid="{00000000-0002-0000-1400-000000000000}">
      <formula1>$R$9:$R$28</formula1>
    </dataValidation>
    <dataValidation type="list" allowBlank="1" showInputMessage="1" showErrorMessage="1" sqref="D15 E9:F15 E23:F25 E27:F29" xr:uid="{00000000-0002-0000-1400-000001000000}">
      <formula1>$M$41:$M$55</formula1>
    </dataValidation>
    <dataValidation type="list" allowBlank="1" showInputMessage="1" showErrorMessage="1" sqref="D9" xr:uid="{00000000-0002-0000-1400-000002000000}">
      <formula1>$M$33:$M$48</formula1>
    </dataValidation>
    <dataValidation type="list" allowBlank="1" showInputMessage="1" showErrorMessage="1" sqref="D10:D14 D23:D25 D27:D29 D26:F26" xr:uid="{00000000-0002-0000-1400-000003000000}">
      <formula1>$M$33:$M$49</formula1>
    </dataValidation>
  </dataValidations>
  <pageMargins left="0.39370078740157483" right="0.39370078740157483" top="0.59055118110236227" bottom="0.59055118110236227" header="0.31496062992125984" footer="0.31496062992125984"/>
  <pageSetup scale="67" orientation="portrait" r:id="rId1"/>
  <headerFooter>
    <oddFooter>&amp;RPág. &amp;P - &amp;N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8A54A-6149-4D65-96F5-DA02B8399565}">
  <dimension ref="A1:R61"/>
  <sheetViews>
    <sheetView tabSelected="1" view="pageBreakPreview" topLeftCell="B1" zoomScale="90" zoomScaleNormal="100" zoomScaleSheetLayoutView="90" workbookViewId="0">
      <selection activeCell="H26" sqref="H26:K26"/>
    </sheetView>
  </sheetViews>
  <sheetFormatPr baseColWidth="10" defaultColWidth="11.44140625" defaultRowHeight="14.4" x14ac:dyDescent="0.3"/>
  <cols>
    <col min="1" max="1" width="4.109375" style="2" customWidth="1" collapsed="1"/>
    <col min="2" max="2" width="15.109375" style="2" customWidth="1" collapsed="1"/>
    <col min="3" max="3" width="23.55468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3.33203125" style="2" customWidth="1" collapsed="1"/>
    <col min="12" max="12" width="14.44140625" style="2" customWidth="1" collapsed="1"/>
    <col min="13" max="14" width="11.44140625" style="6" customWidth="1" collapsed="1"/>
    <col min="15" max="16" width="11.44140625" style="2" customWidth="1" collapsed="1"/>
    <col min="17" max="17" width="0" style="2" hidden="1" customWidth="1" collapsed="1"/>
    <col min="18" max="18" width="11.44140625" style="2" hidden="1" customWidth="1" collapsed="1"/>
    <col min="19" max="19" width="0" style="2" hidden="1" customWidth="1" collapsed="1"/>
    <col min="20" max="16384" width="11.44140625" style="2" collapsed="1"/>
  </cols>
  <sheetData>
    <row r="1" spans="1:18" ht="15" customHeight="1" x14ac:dyDescent="0.3">
      <c r="A1" s="149"/>
      <c r="B1" s="149"/>
      <c r="C1" s="156" t="s">
        <v>16</v>
      </c>
      <c r="D1" s="157"/>
      <c r="E1" s="157"/>
      <c r="F1" s="157"/>
      <c r="G1" s="157"/>
      <c r="H1" s="158"/>
      <c r="I1" s="30" t="s">
        <v>25</v>
      </c>
      <c r="J1" s="210" t="s">
        <v>49</v>
      </c>
      <c r="K1" s="211"/>
    </row>
    <row r="2" spans="1:18" ht="20.2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18" x14ac:dyDescent="0.3">
      <c r="A3" s="149"/>
      <c r="B3" s="149"/>
      <c r="C3" s="162"/>
      <c r="D3" s="163"/>
      <c r="E3" s="163"/>
      <c r="F3" s="163"/>
      <c r="G3" s="163"/>
      <c r="H3" s="164"/>
      <c r="I3" s="30" t="s">
        <v>27</v>
      </c>
      <c r="J3" s="154">
        <v>42286</v>
      </c>
      <c r="K3" s="155"/>
    </row>
    <row r="4" spans="1:18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8" ht="15.75" customHeight="1" x14ac:dyDescent="0.3">
      <c r="A5" s="3"/>
      <c r="B5" s="13" t="s">
        <v>32</v>
      </c>
      <c r="C5" s="150" t="s">
        <v>165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18" ht="15.75" customHeight="1" x14ac:dyDescent="0.3">
      <c r="A6" s="18"/>
      <c r="E6" s="19"/>
      <c r="F6" s="19"/>
      <c r="G6" s="11"/>
    </row>
    <row r="7" spans="1:18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8" ht="28.8" x14ac:dyDescent="0.3">
      <c r="A8" s="114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18" ht="18" customHeight="1" x14ac:dyDescent="0.3">
      <c r="A9" s="29">
        <v>1</v>
      </c>
      <c r="B9" s="124" t="s">
        <v>29</v>
      </c>
      <c r="C9" s="125"/>
      <c r="D9" s="28">
        <v>4</v>
      </c>
      <c r="E9" s="7">
        <v>4</v>
      </c>
      <c r="F9" s="7">
        <v>4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  <c r="R9" s="2" t="s">
        <v>2</v>
      </c>
    </row>
    <row r="10" spans="1:18" ht="18" customHeight="1" x14ac:dyDescent="0.3">
      <c r="A10" s="29">
        <v>2</v>
      </c>
      <c r="B10" s="124" t="s">
        <v>28</v>
      </c>
      <c r="C10" s="125"/>
      <c r="D10" s="28">
        <v>4</v>
      </c>
      <c r="E10" s="7">
        <v>4</v>
      </c>
      <c r="F10" s="7">
        <v>4</v>
      </c>
      <c r="G10" s="22">
        <f t="shared" ref="G10:G29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R10" s="2" t="s">
        <v>48</v>
      </c>
    </row>
    <row r="11" spans="1:18" ht="18" customHeight="1" x14ac:dyDescent="0.3">
      <c r="A11" s="29">
        <v>3</v>
      </c>
      <c r="B11" s="124" t="s">
        <v>31</v>
      </c>
      <c r="C11" s="125"/>
      <c r="D11" s="28">
        <v>4</v>
      </c>
      <c r="E11" s="7">
        <v>4</v>
      </c>
      <c r="F11" s="7">
        <v>4</v>
      </c>
      <c r="G11" s="22">
        <f t="shared" si="0"/>
        <v>1</v>
      </c>
      <c r="H11" s="134"/>
      <c r="I11" s="134"/>
      <c r="J11" s="134"/>
      <c r="K11" s="134"/>
      <c r="R11" s="2" t="s">
        <v>121</v>
      </c>
    </row>
    <row r="12" spans="1:18" ht="18" customHeight="1" x14ac:dyDescent="0.3">
      <c r="A12" s="29">
        <v>4</v>
      </c>
      <c r="B12" s="124" t="s">
        <v>30</v>
      </c>
      <c r="C12" s="125"/>
      <c r="D12" s="28">
        <v>4</v>
      </c>
      <c r="E12" s="7">
        <v>4</v>
      </c>
      <c r="F12" s="7">
        <v>4</v>
      </c>
      <c r="G12" s="22">
        <f t="shared" si="0"/>
        <v>1</v>
      </c>
      <c r="H12" s="134"/>
      <c r="I12" s="134"/>
      <c r="J12" s="134"/>
      <c r="K12" s="134"/>
      <c r="R12" s="2" t="s">
        <v>13</v>
      </c>
    </row>
    <row r="13" spans="1:18" ht="18" customHeight="1" x14ac:dyDescent="0.3">
      <c r="A13" s="29">
        <v>5</v>
      </c>
      <c r="B13" s="124" t="s">
        <v>22</v>
      </c>
      <c r="C13" s="125"/>
      <c r="D13" s="28">
        <v>4</v>
      </c>
      <c r="E13" s="7">
        <v>4</v>
      </c>
      <c r="F13" s="7">
        <v>4</v>
      </c>
      <c r="G13" s="22">
        <f t="shared" si="0"/>
        <v>1</v>
      </c>
      <c r="H13" s="134"/>
      <c r="I13" s="134"/>
      <c r="J13" s="134"/>
      <c r="K13" s="134"/>
      <c r="R13" s="2" t="s">
        <v>47</v>
      </c>
    </row>
    <row r="14" spans="1:18" ht="18" customHeight="1" x14ac:dyDescent="0.3">
      <c r="A14" s="29">
        <v>6</v>
      </c>
      <c r="B14" s="126" t="s">
        <v>55</v>
      </c>
      <c r="C14" s="127"/>
      <c r="D14" s="28">
        <v>1</v>
      </c>
      <c r="E14" s="7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R14" s="2" t="s">
        <v>12</v>
      </c>
    </row>
    <row r="15" spans="1:18" ht="18" customHeight="1" x14ac:dyDescent="0.3">
      <c r="A15" s="117">
        <v>7</v>
      </c>
      <c r="B15" s="135" t="s">
        <v>24</v>
      </c>
      <c r="C15" s="136"/>
      <c r="D15" s="141">
        <v>3</v>
      </c>
      <c r="E15" s="144">
        <v>3</v>
      </c>
      <c r="F15" s="144">
        <v>3</v>
      </c>
      <c r="G15" s="128">
        <f>IF(D15="","",IF(D15=0,"-",IF(F15&gt;D15,"ERROR",IF(E15&gt;D15,"ERROR",IF(E15&lt;D15,0,IF(E15&gt;F15,0,IF(F15=D15,1,0)))))))</f>
        <v>1</v>
      </c>
      <c r="H15" s="51" t="s">
        <v>63</v>
      </c>
      <c r="I15" s="65"/>
      <c r="J15" s="51" t="s">
        <v>62</v>
      </c>
      <c r="K15" s="113"/>
      <c r="R15" s="2" t="s">
        <v>122</v>
      </c>
    </row>
    <row r="16" spans="1:18" ht="18" customHeight="1" x14ac:dyDescent="0.3">
      <c r="A16" s="118"/>
      <c r="B16" s="137"/>
      <c r="C16" s="138"/>
      <c r="D16" s="142"/>
      <c r="E16" s="145"/>
      <c r="F16" s="145"/>
      <c r="G16" s="129"/>
      <c r="H16" s="51" t="s">
        <v>64</v>
      </c>
      <c r="I16" s="62"/>
      <c r="J16" s="51" t="s">
        <v>62</v>
      </c>
      <c r="K16" s="113"/>
      <c r="M16" s="2"/>
      <c r="N16" s="2"/>
      <c r="R16" s="2" t="s">
        <v>123</v>
      </c>
    </row>
    <row r="17" spans="1:18" ht="18" customHeight="1" x14ac:dyDescent="0.3">
      <c r="A17" s="118"/>
      <c r="B17" s="137"/>
      <c r="C17" s="138"/>
      <c r="D17" s="142"/>
      <c r="E17" s="145"/>
      <c r="F17" s="145"/>
      <c r="G17" s="129"/>
      <c r="H17" s="51" t="s">
        <v>65</v>
      </c>
      <c r="I17" s="62"/>
      <c r="J17" s="51" t="s">
        <v>62</v>
      </c>
      <c r="K17" s="113"/>
      <c r="M17" s="2"/>
      <c r="N17" s="2"/>
      <c r="R17" s="2" t="s">
        <v>14</v>
      </c>
    </row>
    <row r="18" spans="1:18" ht="18" customHeight="1" x14ac:dyDescent="0.3">
      <c r="A18" s="118"/>
      <c r="B18" s="137"/>
      <c r="C18" s="138"/>
      <c r="D18" s="142"/>
      <c r="E18" s="145"/>
      <c r="F18" s="145"/>
      <c r="G18" s="129"/>
      <c r="H18" s="51" t="s">
        <v>66</v>
      </c>
      <c r="I18" s="73"/>
      <c r="J18" s="51" t="s">
        <v>62</v>
      </c>
      <c r="K18" s="113"/>
      <c r="M18" s="2"/>
      <c r="N18" s="2"/>
      <c r="R18" s="2" t="s">
        <v>6</v>
      </c>
    </row>
    <row r="19" spans="1:18" ht="18" customHeight="1" x14ac:dyDescent="0.3">
      <c r="A19" s="118"/>
      <c r="B19" s="137"/>
      <c r="C19" s="138"/>
      <c r="D19" s="142"/>
      <c r="E19" s="145"/>
      <c r="F19" s="145"/>
      <c r="G19" s="129"/>
      <c r="H19" s="51" t="s">
        <v>67</v>
      </c>
      <c r="I19" s="74"/>
      <c r="J19" s="51" t="s">
        <v>62</v>
      </c>
      <c r="K19" s="113"/>
      <c r="M19" s="2"/>
      <c r="N19" s="2"/>
      <c r="R19" s="2" t="s">
        <v>78</v>
      </c>
    </row>
    <row r="20" spans="1:18" ht="18" customHeight="1" x14ac:dyDescent="0.3">
      <c r="A20" s="118"/>
      <c r="B20" s="137"/>
      <c r="C20" s="138"/>
      <c r="D20" s="142"/>
      <c r="E20" s="145"/>
      <c r="F20" s="145"/>
      <c r="G20" s="129"/>
      <c r="H20" s="51" t="s">
        <v>68</v>
      </c>
      <c r="I20" s="62"/>
      <c r="J20" s="51" t="s">
        <v>62</v>
      </c>
      <c r="K20" s="113"/>
      <c r="M20" s="2"/>
      <c r="N20" s="2"/>
      <c r="R20" s="2" t="s">
        <v>7</v>
      </c>
    </row>
    <row r="21" spans="1:18" ht="18.75" customHeight="1" x14ac:dyDescent="0.3">
      <c r="A21" s="118"/>
      <c r="B21" s="137"/>
      <c r="C21" s="138"/>
      <c r="D21" s="142"/>
      <c r="E21" s="145"/>
      <c r="F21" s="145"/>
      <c r="G21" s="129"/>
      <c r="H21" s="51" t="s">
        <v>69</v>
      </c>
      <c r="I21" s="62"/>
      <c r="J21" s="51" t="s">
        <v>62</v>
      </c>
      <c r="K21" s="113"/>
      <c r="L21" s="4"/>
      <c r="M21" s="2"/>
      <c r="N21" s="2"/>
      <c r="R21" s="2" t="s">
        <v>124</v>
      </c>
    </row>
    <row r="22" spans="1:18" ht="18.75" customHeight="1" x14ac:dyDescent="0.3">
      <c r="A22" s="119"/>
      <c r="B22" s="139"/>
      <c r="C22" s="140"/>
      <c r="D22" s="143"/>
      <c r="E22" s="146"/>
      <c r="F22" s="146"/>
      <c r="G22" s="130"/>
      <c r="H22" s="131"/>
      <c r="I22" s="132"/>
      <c r="J22" s="132"/>
      <c r="K22" s="133"/>
      <c r="L22" s="4"/>
      <c r="M22" s="2"/>
      <c r="N22" s="2"/>
      <c r="R22" s="2" t="s">
        <v>125</v>
      </c>
    </row>
    <row r="23" spans="1:18" ht="18" customHeight="1" x14ac:dyDescent="0.3">
      <c r="A23" s="29">
        <v>8</v>
      </c>
      <c r="B23" s="126" t="s">
        <v>21</v>
      </c>
      <c r="C23" s="127"/>
      <c r="D23" s="28">
        <v>1</v>
      </c>
      <c r="E23" s="7">
        <v>1</v>
      </c>
      <c r="F23" s="7">
        <v>1</v>
      </c>
      <c r="G23" s="22">
        <f t="shared" si="0"/>
        <v>1</v>
      </c>
      <c r="H23" s="134"/>
      <c r="I23" s="134"/>
      <c r="J23" s="134"/>
      <c r="K23" s="134"/>
      <c r="M23" s="2"/>
      <c r="N23" s="2"/>
      <c r="R23" s="2" t="s">
        <v>126</v>
      </c>
    </row>
    <row r="24" spans="1:18" ht="18" customHeight="1" x14ac:dyDescent="0.3">
      <c r="A24" s="29">
        <v>9</v>
      </c>
      <c r="B24" s="126" t="s">
        <v>20</v>
      </c>
      <c r="C24" s="127"/>
      <c r="D24" s="28">
        <v>1</v>
      </c>
      <c r="E24" s="7">
        <v>1</v>
      </c>
      <c r="F24" s="7">
        <v>1</v>
      </c>
      <c r="G24" s="22">
        <f t="shared" si="0"/>
        <v>1</v>
      </c>
      <c r="H24" s="134"/>
      <c r="I24" s="134"/>
      <c r="J24" s="134"/>
      <c r="K24" s="134"/>
      <c r="M24" s="2"/>
      <c r="N24" s="2"/>
      <c r="R24" s="2" t="s">
        <v>127</v>
      </c>
    </row>
    <row r="25" spans="1:18" ht="18" customHeight="1" x14ac:dyDescent="0.3">
      <c r="A25" s="29">
        <v>10</v>
      </c>
      <c r="B25" s="124" t="s">
        <v>8</v>
      </c>
      <c r="C25" s="125"/>
      <c r="D25" s="28">
        <v>4</v>
      </c>
      <c r="E25" s="7">
        <v>4</v>
      </c>
      <c r="F25" s="7">
        <v>4</v>
      </c>
      <c r="G25" s="22">
        <f t="shared" si="0"/>
        <v>1</v>
      </c>
      <c r="H25" s="134"/>
      <c r="I25" s="134"/>
      <c r="J25" s="134"/>
      <c r="K25" s="134"/>
      <c r="M25" s="2"/>
      <c r="N25" s="2"/>
      <c r="R25" s="2" t="s">
        <v>128</v>
      </c>
    </row>
    <row r="26" spans="1:18" ht="18" customHeight="1" x14ac:dyDescent="0.3">
      <c r="A26" s="29">
        <v>11</v>
      </c>
      <c r="B26" s="122" t="s">
        <v>132</v>
      </c>
      <c r="C26" s="123"/>
      <c r="D26" s="28"/>
      <c r="E26" s="28"/>
      <c r="F26" s="28"/>
      <c r="G26" s="22" t="str">
        <f t="shared" si="0"/>
        <v/>
      </c>
      <c r="H26" s="175"/>
      <c r="I26" s="176"/>
      <c r="J26" s="176"/>
      <c r="K26" s="177"/>
      <c r="M26" s="2"/>
      <c r="N26" s="2"/>
      <c r="R26" s="2" t="s">
        <v>129</v>
      </c>
    </row>
    <row r="27" spans="1:18" ht="18" customHeight="1" x14ac:dyDescent="0.3">
      <c r="A27" s="29">
        <v>12</v>
      </c>
      <c r="B27" s="120" t="s">
        <v>60</v>
      </c>
      <c r="C27" s="121"/>
      <c r="D27" s="28">
        <v>1</v>
      </c>
      <c r="E27" s="7">
        <v>1</v>
      </c>
      <c r="F27" s="7">
        <v>1</v>
      </c>
      <c r="G27" s="22">
        <f t="shared" si="0"/>
        <v>1</v>
      </c>
      <c r="H27" s="134"/>
      <c r="I27" s="134"/>
      <c r="J27" s="134"/>
      <c r="K27" s="134"/>
      <c r="R27" s="2" t="s">
        <v>130</v>
      </c>
    </row>
    <row r="28" spans="1:18" ht="18" customHeight="1" x14ac:dyDescent="0.3">
      <c r="A28" s="29">
        <v>13</v>
      </c>
      <c r="B28" s="195" t="s">
        <v>56</v>
      </c>
      <c r="C28" s="196"/>
      <c r="D28" s="116">
        <v>1</v>
      </c>
      <c r="E28" s="7">
        <v>1</v>
      </c>
      <c r="F28" s="7">
        <v>1</v>
      </c>
      <c r="G28" s="115">
        <f t="shared" si="0"/>
        <v>1</v>
      </c>
      <c r="H28" s="197"/>
      <c r="I28" s="197"/>
      <c r="J28" s="197"/>
      <c r="K28" s="197"/>
      <c r="R28" s="2" t="s">
        <v>165</v>
      </c>
    </row>
    <row r="29" spans="1:18" ht="18" customHeight="1" thickBot="1" x14ac:dyDescent="0.35">
      <c r="A29" s="29">
        <v>14</v>
      </c>
      <c r="B29" s="203" t="s">
        <v>70</v>
      </c>
      <c r="C29" s="204"/>
      <c r="D29" s="28">
        <v>3</v>
      </c>
      <c r="E29" s="7">
        <v>3</v>
      </c>
      <c r="F29" s="7">
        <v>3</v>
      </c>
      <c r="G29" s="22">
        <f t="shared" si="0"/>
        <v>1</v>
      </c>
      <c r="H29" s="134"/>
      <c r="I29" s="134"/>
      <c r="J29" s="134"/>
      <c r="K29" s="134"/>
      <c r="R29" s="2" t="s">
        <v>164</v>
      </c>
    </row>
    <row r="30" spans="1:18" ht="19.5" customHeight="1" thickBot="1" x14ac:dyDescent="0.35">
      <c r="A30" s="198" t="s">
        <v>57</v>
      </c>
      <c r="B30" s="199"/>
      <c r="C30" s="199"/>
      <c r="D30" s="199"/>
      <c r="E30" s="199"/>
      <c r="F30" s="199"/>
      <c r="G30" s="200">
        <f>IFERROR(AVERAGE(G9:G28),"-")</f>
        <v>1</v>
      </c>
      <c r="H30" s="201"/>
      <c r="I30" s="201"/>
      <c r="J30" s="201"/>
      <c r="K30" s="202"/>
      <c r="R30" s="2" t="s">
        <v>163</v>
      </c>
    </row>
    <row r="31" spans="1:18" ht="17.25" customHeight="1" x14ac:dyDescent="0.3">
      <c r="A31" s="34"/>
      <c r="E31" s="17"/>
      <c r="F31" s="35"/>
      <c r="G31" s="36"/>
      <c r="H31" s="25"/>
      <c r="I31" s="37"/>
      <c r="J31" s="23"/>
    </row>
    <row r="32" spans="1:18" ht="28.5" customHeight="1" x14ac:dyDescent="0.3">
      <c r="A32" s="193" t="s">
        <v>59</v>
      </c>
      <c r="B32" s="193"/>
      <c r="C32" s="194" t="s">
        <v>84</v>
      </c>
      <c r="D32" s="194"/>
      <c r="E32" s="38"/>
      <c r="F32" s="38"/>
      <c r="G32" s="24"/>
      <c r="H32" s="25"/>
      <c r="I32" s="26"/>
      <c r="J32" s="25"/>
    </row>
    <row r="33" spans="1:16" x14ac:dyDescent="0.3">
      <c r="A33" s="193" t="s">
        <v>61</v>
      </c>
      <c r="B33" s="193"/>
      <c r="C33" s="184" t="s">
        <v>89</v>
      </c>
      <c r="D33" s="185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92" t="s">
        <v>58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</row>
    <row r="36" spans="1:16" x14ac:dyDescent="0.3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M36" s="2"/>
      <c r="N36" s="2"/>
    </row>
    <row r="37" spans="1:16" hidden="1" x14ac:dyDescent="0.3">
      <c r="M37" s="2"/>
      <c r="N37" s="2"/>
    </row>
    <row r="38" spans="1:16" hidden="1" x14ac:dyDescent="0.3">
      <c r="M38" s="2"/>
      <c r="N38" s="2"/>
    </row>
    <row r="39" spans="1:16" ht="28.8" hidden="1" x14ac:dyDescent="0.3">
      <c r="L39" s="5" t="s">
        <v>17</v>
      </c>
      <c r="M39" s="21" t="s">
        <v>54</v>
      </c>
      <c r="N39" s="21" t="s">
        <v>53</v>
      </c>
      <c r="O39" s="42" t="s">
        <v>34</v>
      </c>
    </row>
    <row r="40" spans="1:16" ht="15.6" hidden="1" x14ac:dyDescent="0.3">
      <c r="K40" s="5" t="s">
        <v>10</v>
      </c>
      <c r="L40" s="8" t="s">
        <v>18</v>
      </c>
      <c r="M40" s="6">
        <v>0</v>
      </c>
      <c r="N40" s="44" t="s">
        <v>18</v>
      </c>
      <c r="O40" s="6" t="s">
        <v>35</v>
      </c>
      <c r="P40" s="10"/>
    </row>
    <row r="41" spans="1:16" hidden="1" x14ac:dyDescent="0.3">
      <c r="K41" s="81" t="str">
        <f>IF(MAESTRO!A1="","",MAESTRO!A1)</f>
        <v>******SUCURSALES</v>
      </c>
      <c r="L41" s="43" t="s">
        <v>19</v>
      </c>
      <c r="M41" s="15">
        <v>1</v>
      </c>
      <c r="N41" s="43" t="s">
        <v>19</v>
      </c>
      <c r="O41" s="6" t="s">
        <v>36</v>
      </c>
    </row>
    <row r="42" spans="1:16" hidden="1" x14ac:dyDescent="0.3">
      <c r="K42" s="81" t="str">
        <f>IF(MAESTRO!A2="","",MAESTRO!A2)</f>
        <v>LA CASA DE LA CAÑA, C.A. (T. ALTERNA)</v>
      </c>
      <c r="M42" s="16">
        <v>2</v>
      </c>
      <c r="N42" s="16"/>
      <c r="O42" s="6" t="s">
        <v>37</v>
      </c>
    </row>
    <row r="43" spans="1:16" hidden="1" x14ac:dyDescent="0.3">
      <c r="K43" s="81" t="str">
        <f>IF(MAESTRO!A3="","",MAESTRO!A3)</f>
        <v>LA CASA DE LA CAÑA, C.A. (T. ANACO)</v>
      </c>
      <c r="M43" s="16">
        <v>3</v>
      </c>
      <c r="N43" s="16"/>
      <c r="O43" s="6" t="s">
        <v>38</v>
      </c>
    </row>
    <row r="44" spans="1:16" hidden="1" x14ac:dyDescent="0.3">
      <c r="K44" s="81" t="str">
        <f>IF(MAESTRO!A4="","",MAESTRO!A4)</f>
        <v>LA CASA DE LA CAÑA, C.A. (T. CUMANÁ)</v>
      </c>
      <c r="L44" s="81"/>
      <c r="M44" s="16">
        <v>4</v>
      </c>
      <c r="N44" s="15"/>
      <c r="O44" s="6" t="s">
        <v>39</v>
      </c>
    </row>
    <row r="45" spans="1:16" hidden="1" x14ac:dyDescent="0.3">
      <c r="K45" s="81" t="str">
        <f>IF(MAESTRO!A5="","",MAESTRO!A5)</f>
        <v>LA CASA DE LA CAÑA, C.A. (T. MATURÍN I)</v>
      </c>
      <c r="L45" s="81"/>
      <c r="M45" s="15">
        <v>5</v>
      </c>
      <c r="N45" s="15"/>
      <c r="O45" s="6" t="s">
        <v>40</v>
      </c>
    </row>
    <row r="46" spans="1:16" hidden="1" x14ac:dyDescent="0.3">
      <c r="K46" s="81" t="str">
        <f>IF(MAESTRO!A6="","",MAESTRO!A6)</f>
        <v>LA CASA DE LA CAÑA, C.A. (T. MATURÍN II)</v>
      </c>
      <c r="L46" s="81"/>
      <c r="M46" s="15">
        <v>6</v>
      </c>
      <c r="N46" s="15"/>
      <c r="O46" s="6" t="s">
        <v>41</v>
      </c>
    </row>
    <row r="47" spans="1:16" hidden="1" x14ac:dyDescent="0.3">
      <c r="K47" s="81" t="str">
        <f>IF(MAESTRO!A7="","",MAESTRO!A7)</f>
        <v>LA CASA DE LA CAÑA, C.A. (T. NVA. BARCELONA)</v>
      </c>
      <c r="L47" s="81"/>
      <c r="M47" s="15">
        <v>7</v>
      </c>
      <c r="N47" s="15"/>
      <c r="O47" s="6" t="s">
        <v>42</v>
      </c>
    </row>
    <row r="48" spans="1:16" hidden="1" x14ac:dyDescent="0.3">
      <c r="K48" s="81" t="str">
        <f>IF(MAESTRO!A8="","",MAESTRO!A8)</f>
        <v>INVERSIONES CAÑANDONGA,C.A (T. CONEJERO)</v>
      </c>
      <c r="L48" s="81"/>
      <c r="M48" s="15">
        <v>8</v>
      </c>
      <c r="N48" s="15"/>
      <c r="O48" s="6" t="s">
        <v>43</v>
      </c>
    </row>
    <row r="49" spans="5:15" hidden="1" x14ac:dyDescent="0.3">
      <c r="E49" s="2"/>
      <c r="F49" s="2"/>
      <c r="G49" s="2"/>
      <c r="K49" s="81" t="str">
        <f>IF(MAESTRO!A9="","",MAESTRO!A9)</f>
        <v>OPERADORA EL MERCADO 2011, C.A. (T. MERCADO)</v>
      </c>
      <c r="L49" s="81"/>
      <c r="M49" s="15">
        <v>9</v>
      </c>
      <c r="N49" s="15"/>
      <c r="O49" s="6" t="s">
        <v>44</v>
      </c>
    </row>
    <row r="50" spans="5:15" hidden="1" x14ac:dyDescent="0.3">
      <c r="E50" s="2"/>
      <c r="F50" s="2"/>
      <c r="G50" s="2"/>
      <c r="K50" s="81" t="str">
        <f>IF(MAESTRO!A10="","",MAESTRO!A10)</f>
        <v>OPERADORA EL PUENTE 2011, C.A. (T. PUENTE REAL)</v>
      </c>
      <c r="L50" s="81"/>
      <c r="M50" s="15">
        <v>10</v>
      </c>
      <c r="N50" s="15"/>
      <c r="O50" s="6" t="s">
        <v>45</v>
      </c>
    </row>
    <row r="51" spans="5:15" hidden="1" x14ac:dyDescent="0.3">
      <c r="E51" s="2"/>
      <c r="F51" s="2"/>
      <c r="G51" s="2"/>
      <c r="K51" s="81" t="str">
        <f>IF(MAESTRO!A11="","",MAESTRO!A11)</f>
        <v>OPERADORA LECHERÍA 2011, C.A. (T. LECHERÍA)</v>
      </c>
      <c r="L51" s="81"/>
      <c r="M51" s="15">
        <v>11</v>
      </c>
      <c r="N51" s="15"/>
      <c r="O51" s="6" t="s">
        <v>46</v>
      </c>
    </row>
    <row r="52" spans="5:15" hidden="1" x14ac:dyDescent="0.3">
      <c r="E52" s="2"/>
      <c r="F52" s="2"/>
      <c r="G52" s="2"/>
      <c r="K52" s="81" t="str">
        <f>IF(MAESTRO!A12="","",MAESTRO!A12)</f>
        <v>OPERADORA PUERTO LA CRUZ 2011, C.A. (T. PUERTO LA CRUZ)</v>
      </c>
      <c r="L52" s="81"/>
      <c r="M52" s="15">
        <v>12</v>
      </c>
      <c r="N52" s="15"/>
      <c r="O52" s="6"/>
    </row>
    <row r="53" spans="5:15" hidden="1" x14ac:dyDescent="0.3">
      <c r="E53" s="2"/>
      <c r="F53" s="2"/>
      <c r="G53" s="2"/>
      <c r="K53" s="81" t="str">
        <f>IF(MAESTRO!A13="","",MAESTRO!A13)</f>
        <v>OPERADORA PUERTO ORDAZ 2013, C.A.(T. PUERTO ORDAZ)</v>
      </c>
      <c r="L53" s="81"/>
      <c r="M53" s="15">
        <v>13</v>
      </c>
      <c r="N53" s="15"/>
      <c r="O53" s="6"/>
    </row>
    <row r="54" spans="5:15" hidden="1" x14ac:dyDescent="0.3">
      <c r="E54" s="2"/>
      <c r="F54" s="2"/>
      <c r="G54" s="2"/>
      <c r="K54" s="81" t="str">
        <f>IF(MAESTRO!A14="","",MAESTRO!A14)</f>
        <v>OPERADORA LAS AMERICAS, C.A</v>
      </c>
      <c r="L54" s="81"/>
      <c r="M54" s="15">
        <v>14</v>
      </c>
      <c r="N54" s="15"/>
      <c r="O54" s="6"/>
    </row>
    <row r="55" spans="5:15" hidden="1" x14ac:dyDescent="0.3">
      <c r="E55" s="2"/>
      <c r="F55" s="2"/>
      <c r="G55" s="2"/>
      <c r="K55" s="8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81" t="str">
        <f>IF(MAESTRO!A16="","",MAESTRO!A16)</f>
        <v>RELIVE, C.A. (T. CHUPARÍN)</v>
      </c>
    </row>
    <row r="57" spans="5:15" hidden="1" x14ac:dyDescent="0.3">
      <c r="K57" s="81" t="str">
        <f>IF(MAESTRO!A17="","",MAESTRO!A17)</f>
        <v>RELIVE, C.A. (T. TERRAZAS)</v>
      </c>
    </row>
    <row r="58" spans="5:15" hidden="1" x14ac:dyDescent="0.3">
      <c r="K58" s="81" t="str">
        <f>IF(MAESTRO!A18="","",MAESTRO!A18)</f>
        <v>RELIVE, C.A. (T. TIGRE II)</v>
      </c>
    </row>
    <row r="59" spans="5:15" hidden="1" x14ac:dyDescent="0.3">
      <c r="K59" s="81" t="str">
        <f>IF(MAESTRO!A19="","",MAESTRO!A19)</f>
        <v>RELIVE, C.A. (T. TIGRE III)</v>
      </c>
    </row>
    <row r="60" spans="5:15" hidden="1" x14ac:dyDescent="0.3">
      <c r="K60" s="81" t="s">
        <v>129</v>
      </c>
    </row>
    <row r="61" spans="5:15" x14ac:dyDescent="0.3">
      <c r="K61" s="81" t="str">
        <f>IF(MAESTRO!A21="","",MAESTRO!A21)</f>
        <v/>
      </c>
    </row>
  </sheetData>
  <sheetProtection selectLockedCells="1"/>
  <dataConsolidate/>
  <mergeCells count="49">
    <mergeCell ref="A33:B33"/>
    <mergeCell ref="C33:D33"/>
    <mergeCell ref="A35:K36"/>
    <mergeCell ref="B29:C29"/>
    <mergeCell ref="H29:K29"/>
    <mergeCell ref="A30:F30"/>
    <mergeCell ref="G30:K30"/>
    <mergeCell ref="A32:B32"/>
    <mergeCell ref="C32:D32"/>
    <mergeCell ref="B26:C26"/>
    <mergeCell ref="H26:K26"/>
    <mergeCell ref="B27:C27"/>
    <mergeCell ref="H27:K27"/>
    <mergeCell ref="B28:C28"/>
    <mergeCell ref="H28:K28"/>
    <mergeCell ref="B23:C23"/>
    <mergeCell ref="H23:K23"/>
    <mergeCell ref="B24:C24"/>
    <mergeCell ref="H24:K24"/>
    <mergeCell ref="B25:C25"/>
    <mergeCell ref="H25:K25"/>
    <mergeCell ref="B14:C14"/>
    <mergeCell ref="H14:K14"/>
    <mergeCell ref="A15:A22"/>
    <mergeCell ref="B15:C22"/>
    <mergeCell ref="D15:D22"/>
    <mergeCell ref="E15:E22"/>
    <mergeCell ref="F15:F22"/>
    <mergeCell ref="G15:G22"/>
    <mergeCell ref="H22:K22"/>
    <mergeCell ref="B11:C11"/>
    <mergeCell ref="H11:K11"/>
    <mergeCell ref="B12:C12"/>
    <mergeCell ref="H12:K12"/>
    <mergeCell ref="B13:C13"/>
    <mergeCell ref="H13:K13"/>
    <mergeCell ref="A7:K7"/>
    <mergeCell ref="B8:C8"/>
    <mergeCell ref="H8:K8"/>
    <mergeCell ref="B9:C9"/>
    <mergeCell ref="H9:K9"/>
    <mergeCell ref="B10:C10"/>
    <mergeCell ref="H10:K10"/>
    <mergeCell ref="A1:B3"/>
    <mergeCell ref="C1:H3"/>
    <mergeCell ref="J1:K1"/>
    <mergeCell ref="J3:K3"/>
    <mergeCell ref="C5:G5"/>
    <mergeCell ref="I5:J5"/>
  </mergeCells>
  <dataValidations count="4">
    <dataValidation type="list" allowBlank="1" showInputMessage="1" showErrorMessage="1" sqref="C5:G5" xr:uid="{D2155868-73F9-4C76-B70D-4CE43754D98C}">
      <formula1>$R$9:$R$30</formula1>
    </dataValidation>
    <dataValidation type="list" allowBlank="1" showInputMessage="1" showErrorMessage="1" sqref="D15 E9:F15 E23:F25 E27:F29" xr:uid="{4F996CC0-9C8F-4799-96B3-65F1AC901386}">
      <formula1>$M$41:$M$55</formula1>
    </dataValidation>
    <dataValidation type="list" allowBlank="1" showInputMessage="1" showErrorMessage="1" sqref="D9" xr:uid="{38024672-AD2F-494A-8B52-9407BF21B84B}">
      <formula1>$M$33:$M$48</formula1>
    </dataValidation>
    <dataValidation type="list" allowBlank="1" showInputMessage="1" showErrorMessage="1" sqref="D10:D14 D23:D25 D27:D29 D26:F26" xr:uid="{D3B3517D-2FE4-4489-964C-D4EBFA49270F}">
      <formula1>$M$33:$M$49</formula1>
    </dataValidation>
  </dataValidations>
  <pageMargins left="0.39370078740157483" right="0.39370078740157483" top="0.59055118110236227" bottom="0.59055118110236227" header="0.31496062992125984" footer="0.31496062992125984"/>
  <pageSetup scale="67" orientation="portrait" r:id="rId1"/>
  <headerFooter>
    <oddFooter>&amp;RPág. &amp;P - &amp;N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D436-E6D7-4837-A0A1-C77423EAC042}">
  <dimension ref="A1:Q61"/>
  <sheetViews>
    <sheetView view="pageBreakPreview" topLeftCell="A10" zoomScale="90" zoomScaleNormal="100" zoomScaleSheetLayoutView="90" workbookViewId="0">
      <selection activeCell="C33" sqref="C33:D33"/>
    </sheetView>
  </sheetViews>
  <sheetFormatPr baseColWidth="10" defaultColWidth="11.44140625" defaultRowHeight="14.4" x14ac:dyDescent="0.3"/>
  <cols>
    <col min="1" max="1" width="4.109375" style="2" customWidth="1" collapsed="1"/>
    <col min="2" max="2" width="15" style="2" customWidth="1" collapsed="1"/>
    <col min="3" max="3" width="24.1093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12.33203125" style="2" customWidth="1" collapsed="1"/>
    <col min="9" max="9" width="13" style="2" customWidth="1" collapsed="1"/>
    <col min="10" max="10" width="16.6640625" style="2" customWidth="1" collapsed="1"/>
    <col min="11" max="11" width="12.5546875" style="2" customWidth="1" collapsed="1"/>
    <col min="12" max="12" width="14.44140625" style="2" customWidth="1" collapsed="1"/>
    <col min="13" max="14" width="11.44140625" style="6" customWidth="1" collapsed="1"/>
    <col min="15" max="15" width="11.44140625" style="2" customWidth="1" collapsed="1"/>
    <col min="16" max="17" width="11.44140625" style="2" hidden="1" customWidth="1" collapsed="1"/>
    <col min="18" max="18" width="0" style="2" hidden="1" customWidth="1" collapsed="1"/>
    <col min="19" max="16384" width="11.44140625" style="2" collapsed="1"/>
  </cols>
  <sheetData>
    <row r="1" spans="1:17" ht="15" customHeight="1" x14ac:dyDescent="0.3">
      <c r="A1" s="149"/>
      <c r="B1" s="149"/>
      <c r="C1" s="156" t="s">
        <v>16</v>
      </c>
      <c r="D1" s="157"/>
      <c r="E1" s="157"/>
      <c r="F1" s="157"/>
      <c r="G1" s="157"/>
      <c r="H1" s="158"/>
      <c r="I1" s="30" t="s">
        <v>25</v>
      </c>
      <c r="J1" s="210" t="s">
        <v>49</v>
      </c>
      <c r="K1" s="211"/>
    </row>
    <row r="2" spans="1:17" ht="18.7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17" x14ac:dyDescent="0.3">
      <c r="A3" s="149"/>
      <c r="B3" s="149"/>
      <c r="C3" s="162"/>
      <c r="D3" s="163"/>
      <c r="E3" s="163"/>
      <c r="F3" s="163"/>
      <c r="G3" s="163"/>
      <c r="H3" s="164"/>
      <c r="I3" s="30" t="s">
        <v>27</v>
      </c>
      <c r="J3" s="154">
        <v>42286</v>
      </c>
      <c r="K3" s="155"/>
    </row>
    <row r="4" spans="1:17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7" x14ac:dyDescent="0.3">
      <c r="A5" s="3"/>
      <c r="B5" s="13" t="s">
        <v>32</v>
      </c>
      <c r="C5" s="150" t="s">
        <v>163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17" x14ac:dyDescent="0.3">
      <c r="A6" s="18"/>
      <c r="E6" s="19"/>
      <c r="F6" s="19"/>
      <c r="G6" s="11"/>
    </row>
    <row r="7" spans="1:17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7" ht="28.8" x14ac:dyDescent="0.3">
      <c r="A8" s="114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17" x14ac:dyDescent="0.3">
      <c r="A9" s="29">
        <v>1</v>
      </c>
      <c r="B9" s="124" t="s">
        <v>29</v>
      </c>
      <c r="C9" s="125"/>
      <c r="D9" s="28">
        <v>2</v>
      </c>
      <c r="E9" s="7">
        <v>2</v>
      </c>
      <c r="F9" s="7">
        <v>2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  <c r="Q9" s="2" t="s">
        <v>2</v>
      </c>
    </row>
    <row r="10" spans="1:17" x14ac:dyDescent="0.3">
      <c r="A10" s="29">
        <v>2</v>
      </c>
      <c r="B10" s="124" t="s">
        <v>28</v>
      </c>
      <c r="C10" s="125"/>
      <c r="D10" s="28">
        <v>2</v>
      </c>
      <c r="E10" s="7">
        <v>2</v>
      </c>
      <c r="F10" s="7">
        <v>2</v>
      </c>
      <c r="G10" s="22">
        <f t="shared" ref="G10:G29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Q10" s="2" t="s">
        <v>48</v>
      </c>
    </row>
    <row r="11" spans="1:17" x14ac:dyDescent="0.3">
      <c r="A11" s="29">
        <v>3</v>
      </c>
      <c r="B11" s="124" t="s">
        <v>31</v>
      </c>
      <c r="C11" s="125"/>
      <c r="D11" s="28">
        <v>2</v>
      </c>
      <c r="E11" s="7">
        <v>2</v>
      </c>
      <c r="F11" s="7">
        <v>2</v>
      </c>
      <c r="G11" s="22">
        <f t="shared" si="0"/>
        <v>1</v>
      </c>
      <c r="H11" s="134"/>
      <c r="I11" s="134"/>
      <c r="J11" s="134"/>
      <c r="K11" s="134"/>
      <c r="Q11" s="2" t="s">
        <v>121</v>
      </c>
    </row>
    <row r="12" spans="1:17" x14ac:dyDescent="0.3">
      <c r="A12" s="29">
        <v>4</v>
      </c>
      <c r="B12" s="124" t="s">
        <v>30</v>
      </c>
      <c r="C12" s="125"/>
      <c r="D12" s="28">
        <v>2</v>
      </c>
      <c r="E12" s="7">
        <v>2</v>
      </c>
      <c r="F12" s="7">
        <v>2</v>
      </c>
      <c r="G12" s="22">
        <f t="shared" si="0"/>
        <v>1</v>
      </c>
      <c r="H12" s="134"/>
      <c r="I12" s="134"/>
      <c r="J12" s="134"/>
      <c r="K12" s="134"/>
      <c r="Q12" s="2" t="s">
        <v>13</v>
      </c>
    </row>
    <row r="13" spans="1:17" x14ac:dyDescent="0.3">
      <c r="A13" s="29">
        <v>5</v>
      </c>
      <c r="B13" s="124" t="s">
        <v>22</v>
      </c>
      <c r="C13" s="125"/>
      <c r="D13" s="28">
        <v>2</v>
      </c>
      <c r="E13" s="7">
        <v>2</v>
      </c>
      <c r="F13" s="7">
        <v>2</v>
      </c>
      <c r="G13" s="22">
        <f t="shared" si="0"/>
        <v>1</v>
      </c>
      <c r="H13" s="134"/>
      <c r="I13" s="134"/>
      <c r="J13" s="134"/>
      <c r="K13" s="134"/>
      <c r="Q13" s="2" t="s">
        <v>47</v>
      </c>
    </row>
    <row r="14" spans="1:17" x14ac:dyDescent="0.3">
      <c r="A14" s="29">
        <v>6</v>
      </c>
      <c r="B14" s="126" t="s">
        <v>55</v>
      </c>
      <c r="C14" s="127"/>
      <c r="D14" s="28">
        <v>1</v>
      </c>
      <c r="E14" s="7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Q14" s="2" t="s">
        <v>12</v>
      </c>
    </row>
    <row r="15" spans="1:17" x14ac:dyDescent="0.3">
      <c r="A15" s="117">
        <v>7</v>
      </c>
      <c r="B15" s="135" t="s">
        <v>24</v>
      </c>
      <c r="C15" s="136"/>
      <c r="D15" s="141">
        <v>1</v>
      </c>
      <c r="E15" s="144">
        <v>1</v>
      </c>
      <c r="F15" s="144">
        <v>1</v>
      </c>
      <c r="G15" s="128">
        <f>IF(D15="","",IF(D15=0,"-",IF(F15&gt;D15,"ERROR",IF(E15&gt;D15,"ERROR",IF(E15&lt;D15,0,IF(E15&gt;F15,0,IF(F15=D15,1,0)))))))</f>
        <v>1</v>
      </c>
      <c r="H15" s="51" t="s">
        <v>63</v>
      </c>
      <c r="I15" s="69"/>
      <c r="J15" s="51" t="s">
        <v>62</v>
      </c>
      <c r="K15" s="113"/>
      <c r="Q15" s="2" t="s">
        <v>122</v>
      </c>
    </row>
    <row r="16" spans="1:17" x14ac:dyDescent="0.3">
      <c r="A16" s="118"/>
      <c r="B16" s="137"/>
      <c r="C16" s="138"/>
      <c r="D16" s="142"/>
      <c r="E16" s="145"/>
      <c r="F16" s="145"/>
      <c r="G16" s="129"/>
      <c r="H16" s="51" t="s">
        <v>64</v>
      </c>
      <c r="I16" s="69"/>
      <c r="J16" s="51" t="s">
        <v>62</v>
      </c>
      <c r="K16" s="113"/>
      <c r="M16" s="2"/>
      <c r="N16" s="2"/>
      <c r="Q16" s="2" t="s">
        <v>123</v>
      </c>
    </row>
    <row r="17" spans="1:17" x14ac:dyDescent="0.3">
      <c r="A17" s="118"/>
      <c r="B17" s="137"/>
      <c r="C17" s="138"/>
      <c r="D17" s="142"/>
      <c r="E17" s="145"/>
      <c r="F17" s="145"/>
      <c r="G17" s="129"/>
      <c r="H17" s="51" t="s">
        <v>65</v>
      </c>
      <c r="I17" s="113"/>
      <c r="J17" s="51" t="s">
        <v>62</v>
      </c>
      <c r="K17" s="113"/>
      <c r="M17" s="2"/>
      <c r="N17" s="2"/>
      <c r="Q17" s="2" t="s">
        <v>14</v>
      </c>
    </row>
    <row r="18" spans="1:17" x14ac:dyDescent="0.3">
      <c r="A18" s="118"/>
      <c r="B18" s="137"/>
      <c r="C18" s="138"/>
      <c r="D18" s="142"/>
      <c r="E18" s="145"/>
      <c r="F18" s="145"/>
      <c r="G18" s="129"/>
      <c r="H18" s="51" t="s">
        <v>66</v>
      </c>
      <c r="I18" s="113"/>
      <c r="J18" s="51" t="s">
        <v>62</v>
      </c>
      <c r="K18" s="113"/>
      <c r="M18" s="2"/>
      <c r="N18" s="2"/>
      <c r="Q18" s="2" t="s">
        <v>6</v>
      </c>
    </row>
    <row r="19" spans="1:17" x14ac:dyDescent="0.3">
      <c r="A19" s="118"/>
      <c r="B19" s="137"/>
      <c r="C19" s="138"/>
      <c r="D19" s="142"/>
      <c r="E19" s="145"/>
      <c r="F19" s="145"/>
      <c r="G19" s="129"/>
      <c r="H19" s="51" t="s">
        <v>67</v>
      </c>
      <c r="I19" s="113"/>
      <c r="J19" s="51" t="s">
        <v>62</v>
      </c>
      <c r="K19" s="113"/>
      <c r="M19" s="2"/>
      <c r="N19" s="2"/>
      <c r="Q19" s="2" t="s">
        <v>78</v>
      </c>
    </row>
    <row r="20" spans="1:17" x14ac:dyDescent="0.3">
      <c r="A20" s="118"/>
      <c r="B20" s="137"/>
      <c r="C20" s="138"/>
      <c r="D20" s="142"/>
      <c r="E20" s="145"/>
      <c r="F20" s="145"/>
      <c r="G20" s="129"/>
      <c r="H20" s="51" t="s">
        <v>68</v>
      </c>
      <c r="I20" s="112"/>
      <c r="J20" s="51" t="s">
        <v>62</v>
      </c>
      <c r="K20" s="113"/>
      <c r="M20" s="2"/>
      <c r="N20" s="2"/>
      <c r="Q20" s="2" t="s">
        <v>7</v>
      </c>
    </row>
    <row r="21" spans="1:17" x14ac:dyDescent="0.3">
      <c r="A21" s="118"/>
      <c r="B21" s="137"/>
      <c r="C21" s="138"/>
      <c r="D21" s="142"/>
      <c r="E21" s="145"/>
      <c r="F21" s="145"/>
      <c r="G21" s="129"/>
      <c r="H21" s="51" t="s">
        <v>69</v>
      </c>
      <c r="I21" s="112"/>
      <c r="J21" s="51" t="s">
        <v>62</v>
      </c>
      <c r="K21" s="113"/>
      <c r="L21" s="4"/>
      <c r="M21" s="2"/>
      <c r="N21" s="2"/>
      <c r="Q21" s="2" t="s">
        <v>124</v>
      </c>
    </row>
    <row r="22" spans="1:17" x14ac:dyDescent="0.3">
      <c r="A22" s="119"/>
      <c r="B22" s="139"/>
      <c r="C22" s="140"/>
      <c r="D22" s="143"/>
      <c r="E22" s="146"/>
      <c r="F22" s="146"/>
      <c r="G22" s="130"/>
      <c r="H22" s="131"/>
      <c r="I22" s="132"/>
      <c r="J22" s="132"/>
      <c r="K22" s="133"/>
      <c r="L22" s="4"/>
      <c r="M22" s="2"/>
      <c r="N22" s="2"/>
      <c r="Q22" s="2" t="s">
        <v>125</v>
      </c>
    </row>
    <row r="23" spans="1:17" x14ac:dyDescent="0.3">
      <c r="A23" s="29">
        <v>8</v>
      </c>
      <c r="B23" s="126" t="s">
        <v>21</v>
      </c>
      <c r="C23" s="127"/>
      <c r="D23" s="28">
        <v>1</v>
      </c>
      <c r="E23" s="7">
        <v>1</v>
      </c>
      <c r="F23" s="7">
        <v>1</v>
      </c>
      <c r="G23" s="22">
        <f t="shared" si="0"/>
        <v>1</v>
      </c>
      <c r="H23" s="134"/>
      <c r="I23" s="134"/>
      <c r="J23" s="134"/>
      <c r="K23" s="134"/>
      <c r="M23" s="2"/>
      <c r="N23" s="2"/>
      <c r="Q23" s="2" t="s">
        <v>126</v>
      </c>
    </row>
    <row r="24" spans="1:17" x14ac:dyDescent="0.3">
      <c r="A24" s="29">
        <v>9</v>
      </c>
      <c r="B24" s="216" t="s">
        <v>20</v>
      </c>
      <c r="C24" s="217"/>
      <c r="D24" s="28">
        <v>1</v>
      </c>
      <c r="E24" s="7">
        <v>1</v>
      </c>
      <c r="F24" s="7">
        <v>1</v>
      </c>
      <c r="G24" s="22">
        <f t="shared" si="0"/>
        <v>1</v>
      </c>
      <c r="H24" s="175"/>
      <c r="I24" s="176"/>
      <c r="J24" s="176"/>
      <c r="K24" s="177"/>
      <c r="M24" s="2"/>
      <c r="N24" s="2"/>
      <c r="Q24" s="2" t="s">
        <v>127</v>
      </c>
    </row>
    <row r="25" spans="1:17" x14ac:dyDescent="0.3">
      <c r="A25" s="29">
        <v>10</v>
      </c>
      <c r="B25" s="124" t="s">
        <v>8</v>
      </c>
      <c r="C25" s="125"/>
      <c r="D25" s="28">
        <v>2</v>
      </c>
      <c r="E25" s="7">
        <v>2</v>
      </c>
      <c r="F25" s="7">
        <v>2</v>
      </c>
      <c r="G25" s="22">
        <f t="shared" si="0"/>
        <v>1</v>
      </c>
      <c r="H25" s="134"/>
      <c r="I25" s="134"/>
      <c r="J25" s="134"/>
      <c r="K25" s="134"/>
      <c r="M25" s="2"/>
      <c r="N25" s="2"/>
      <c r="Q25" s="2" t="s">
        <v>128</v>
      </c>
    </row>
    <row r="26" spans="1:17" x14ac:dyDescent="0.3">
      <c r="A26" s="29">
        <v>11</v>
      </c>
      <c r="B26" s="122" t="s">
        <v>132</v>
      </c>
      <c r="C26" s="123"/>
      <c r="D26" s="28">
        <v>0</v>
      </c>
      <c r="E26" s="28">
        <v>0</v>
      </c>
      <c r="F26" s="28">
        <v>0</v>
      </c>
      <c r="G26" s="22" t="str">
        <f t="shared" si="0"/>
        <v>-</v>
      </c>
      <c r="H26" s="175" t="s">
        <v>135</v>
      </c>
      <c r="I26" s="176"/>
      <c r="J26" s="176"/>
      <c r="K26" s="177"/>
      <c r="M26" s="2"/>
      <c r="N26" s="2"/>
      <c r="Q26" s="2" t="s">
        <v>129</v>
      </c>
    </row>
    <row r="27" spans="1:17" ht="18" customHeight="1" x14ac:dyDescent="0.3">
      <c r="A27" s="29">
        <v>12</v>
      </c>
      <c r="B27" s="120" t="s">
        <v>60</v>
      </c>
      <c r="C27" s="121"/>
      <c r="D27" s="28">
        <v>1</v>
      </c>
      <c r="E27" s="7">
        <v>1</v>
      </c>
      <c r="F27" s="7">
        <v>1</v>
      </c>
      <c r="G27" s="22">
        <f t="shared" si="0"/>
        <v>1</v>
      </c>
      <c r="H27" s="134"/>
      <c r="I27" s="134"/>
      <c r="J27" s="134"/>
      <c r="K27" s="134"/>
      <c r="Q27" s="2" t="s">
        <v>130</v>
      </c>
    </row>
    <row r="28" spans="1:17" ht="18" customHeight="1" x14ac:dyDescent="0.3">
      <c r="A28" s="29">
        <v>13</v>
      </c>
      <c r="B28" s="195" t="s">
        <v>56</v>
      </c>
      <c r="C28" s="196"/>
      <c r="D28" s="116">
        <v>1</v>
      </c>
      <c r="E28" s="7">
        <v>1</v>
      </c>
      <c r="F28" s="7">
        <v>1</v>
      </c>
      <c r="G28" s="115">
        <f t="shared" si="0"/>
        <v>1</v>
      </c>
      <c r="H28" s="197"/>
      <c r="I28" s="197"/>
      <c r="J28" s="197"/>
      <c r="K28" s="197"/>
      <c r="Q28" s="2" t="s">
        <v>165</v>
      </c>
    </row>
    <row r="29" spans="1:17" ht="18" customHeight="1" thickBot="1" x14ac:dyDescent="0.35">
      <c r="A29" s="29">
        <v>14</v>
      </c>
      <c r="B29" s="203" t="s">
        <v>70</v>
      </c>
      <c r="C29" s="204"/>
      <c r="D29" s="28">
        <v>1</v>
      </c>
      <c r="E29" s="7">
        <v>1</v>
      </c>
      <c r="F29" s="7">
        <v>1</v>
      </c>
      <c r="G29" s="22">
        <f t="shared" si="0"/>
        <v>1</v>
      </c>
      <c r="H29" s="134"/>
      <c r="I29" s="134"/>
      <c r="J29" s="134"/>
      <c r="K29" s="134"/>
      <c r="Q29" s="2" t="s">
        <v>164</v>
      </c>
    </row>
    <row r="30" spans="1:17" ht="19.5" customHeight="1" thickBot="1" x14ac:dyDescent="0.35">
      <c r="A30" s="198" t="s">
        <v>57</v>
      </c>
      <c r="B30" s="199"/>
      <c r="C30" s="199"/>
      <c r="D30" s="199"/>
      <c r="E30" s="199"/>
      <c r="F30" s="199"/>
      <c r="G30" s="200">
        <f>IFERROR(AVERAGE(G9:G28),"-")</f>
        <v>1</v>
      </c>
      <c r="H30" s="201"/>
      <c r="I30" s="201"/>
      <c r="J30" s="201"/>
      <c r="K30" s="202"/>
      <c r="Q30" s="2" t="s">
        <v>163</v>
      </c>
    </row>
    <row r="31" spans="1:17" x14ac:dyDescent="0.3">
      <c r="A31" s="34"/>
      <c r="E31" s="17"/>
      <c r="F31" s="35"/>
      <c r="G31" s="36"/>
      <c r="H31" s="25"/>
      <c r="I31" s="37"/>
      <c r="J31" s="23"/>
    </row>
    <row r="32" spans="1:17" x14ac:dyDescent="0.3">
      <c r="A32" s="193" t="s">
        <v>59</v>
      </c>
      <c r="B32" s="193"/>
      <c r="C32" s="215" t="s">
        <v>166</v>
      </c>
      <c r="D32" s="215"/>
      <c r="E32" s="38"/>
      <c r="F32" s="38"/>
      <c r="G32" s="24"/>
      <c r="H32" s="25"/>
      <c r="I32" s="26"/>
      <c r="J32" s="25"/>
    </row>
    <row r="33" spans="1:16" x14ac:dyDescent="0.3">
      <c r="A33" s="193" t="s">
        <v>61</v>
      </c>
      <c r="B33" s="193"/>
      <c r="C33" s="184" t="s">
        <v>89</v>
      </c>
      <c r="D33" s="185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92" t="s">
        <v>58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</row>
    <row r="36" spans="1:16" x14ac:dyDescent="0.3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17</v>
      </c>
      <c r="M39" s="21" t="s">
        <v>54</v>
      </c>
      <c r="N39" s="21" t="s">
        <v>53</v>
      </c>
      <c r="O39" s="42" t="s">
        <v>34</v>
      </c>
    </row>
    <row r="40" spans="1:16" ht="15.6" hidden="1" x14ac:dyDescent="0.3">
      <c r="K40" s="5" t="s">
        <v>10</v>
      </c>
      <c r="L40" s="8" t="s">
        <v>18</v>
      </c>
      <c r="M40" s="6">
        <v>0</v>
      </c>
      <c r="N40" s="44" t="s">
        <v>18</v>
      </c>
      <c r="O40" s="6" t="s">
        <v>35</v>
      </c>
      <c r="P40" s="10"/>
    </row>
    <row r="41" spans="1:16" hidden="1" x14ac:dyDescent="0.3">
      <c r="K41" s="81" t="str">
        <f>IF(MAESTRO!A1="","",MAESTRO!A1)</f>
        <v>******SUCURSALES</v>
      </c>
      <c r="L41" s="43" t="s">
        <v>19</v>
      </c>
      <c r="M41" s="15">
        <v>1</v>
      </c>
      <c r="N41" s="43" t="s">
        <v>19</v>
      </c>
      <c r="O41" s="6" t="s">
        <v>36</v>
      </c>
    </row>
    <row r="42" spans="1:16" hidden="1" x14ac:dyDescent="0.3">
      <c r="K42" s="81" t="str">
        <f>IF(MAESTRO!A2="","",MAESTRO!A2)</f>
        <v>LA CASA DE LA CAÑA, C.A. (T. ALTERNA)</v>
      </c>
      <c r="M42" s="16">
        <v>2</v>
      </c>
      <c r="N42" s="16"/>
      <c r="O42" s="6" t="s">
        <v>37</v>
      </c>
    </row>
    <row r="43" spans="1:16" hidden="1" x14ac:dyDescent="0.3">
      <c r="K43" s="81" t="str">
        <f>IF(MAESTRO!A3="","",MAESTRO!A3)</f>
        <v>LA CASA DE LA CAÑA, C.A. (T. ANACO)</v>
      </c>
      <c r="M43" s="16">
        <v>3</v>
      </c>
      <c r="N43" s="16"/>
      <c r="O43" s="6" t="s">
        <v>38</v>
      </c>
    </row>
    <row r="44" spans="1:16" hidden="1" x14ac:dyDescent="0.3">
      <c r="K44" s="81" t="str">
        <f>IF(MAESTRO!A4="","",MAESTRO!A4)</f>
        <v>LA CASA DE LA CAÑA, C.A. (T. CUMANÁ)</v>
      </c>
      <c r="L44" s="81"/>
      <c r="M44" s="16">
        <v>4</v>
      </c>
      <c r="N44" s="15"/>
      <c r="O44" s="6" t="s">
        <v>39</v>
      </c>
    </row>
    <row r="45" spans="1:16" hidden="1" x14ac:dyDescent="0.3">
      <c r="K45" s="81" t="str">
        <f>IF(MAESTRO!A5="","",MAESTRO!A5)</f>
        <v>LA CASA DE LA CAÑA, C.A. (T. MATURÍN I)</v>
      </c>
      <c r="L45" s="81"/>
      <c r="M45" s="15">
        <v>5</v>
      </c>
      <c r="N45" s="15"/>
      <c r="O45" s="6" t="s">
        <v>40</v>
      </c>
    </row>
    <row r="46" spans="1:16" hidden="1" x14ac:dyDescent="0.3">
      <c r="K46" s="81" t="str">
        <f>IF(MAESTRO!A6="","",MAESTRO!A6)</f>
        <v>LA CASA DE LA CAÑA, C.A. (T. MATURÍN II)</v>
      </c>
      <c r="L46" s="81"/>
      <c r="M46" s="15">
        <v>6</v>
      </c>
      <c r="N46" s="15"/>
      <c r="O46" s="6" t="s">
        <v>41</v>
      </c>
    </row>
    <row r="47" spans="1:16" hidden="1" x14ac:dyDescent="0.3">
      <c r="K47" s="81" t="str">
        <f>IF(MAESTRO!A7="","",MAESTRO!A7)</f>
        <v>LA CASA DE LA CAÑA, C.A. (T. NVA. BARCELONA)</v>
      </c>
      <c r="L47" s="81"/>
      <c r="M47" s="15">
        <v>7</v>
      </c>
      <c r="N47" s="15"/>
      <c r="O47" s="6" t="s">
        <v>42</v>
      </c>
    </row>
    <row r="48" spans="1:16" hidden="1" x14ac:dyDescent="0.3">
      <c r="K48" s="81" t="str">
        <f>IF(MAESTRO!A8="","",MAESTRO!A8)</f>
        <v>INVERSIONES CAÑANDONGA,C.A (T. CONEJERO)</v>
      </c>
      <c r="L48" s="81"/>
      <c r="M48" s="15">
        <v>8</v>
      </c>
      <c r="N48" s="15"/>
      <c r="O48" s="6" t="s">
        <v>43</v>
      </c>
    </row>
    <row r="49" spans="5:15" hidden="1" x14ac:dyDescent="0.3">
      <c r="E49" s="2"/>
      <c r="F49" s="2"/>
      <c r="G49" s="2"/>
      <c r="K49" s="81" t="str">
        <f>IF(MAESTRO!A9="","",MAESTRO!A9)</f>
        <v>OPERADORA EL MERCADO 2011, C.A. (T. MERCADO)</v>
      </c>
      <c r="L49" s="81"/>
      <c r="M49" s="15">
        <v>9</v>
      </c>
      <c r="N49" s="15"/>
      <c r="O49" s="6" t="s">
        <v>44</v>
      </c>
    </row>
    <row r="50" spans="5:15" hidden="1" x14ac:dyDescent="0.3">
      <c r="E50" s="2"/>
      <c r="F50" s="2"/>
      <c r="G50" s="2"/>
      <c r="K50" s="81" t="str">
        <f>IF(MAESTRO!A10="","",MAESTRO!A10)</f>
        <v>OPERADORA EL PUENTE 2011, C.A. (T. PUENTE REAL)</v>
      </c>
      <c r="L50" s="81"/>
      <c r="M50" s="15">
        <v>10</v>
      </c>
      <c r="N50" s="15"/>
      <c r="O50" s="6" t="s">
        <v>45</v>
      </c>
    </row>
    <row r="51" spans="5:15" hidden="1" x14ac:dyDescent="0.3">
      <c r="E51" s="2"/>
      <c r="F51" s="2"/>
      <c r="G51" s="2"/>
      <c r="K51" s="81" t="str">
        <f>IF(MAESTRO!A11="","",MAESTRO!A11)</f>
        <v>OPERADORA LECHERÍA 2011, C.A. (T. LECHERÍA)</v>
      </c>
      <c r="L51" s="81"/>
      <c r="M51" s="15">
        <v>11</v>
      </c>
      <c r="N51" s="15"/>
      <c r="O51" s="6" t="s">
        <v>46</v>
      </c>
    </row>
    <row r="52" spans="5:15" hidden="1" x14ac:dyDescent="0.3">
      <c r="E52" s="2"/>
      <c r="F52" s="2"/>
      <c r="G52" s="2"/>
      <c r="K52" s="81" t="str">
        <f>IF(MAESTRO!A12="","",MAESTRO!A12)</f>
        <v>OPERADORA PUERTO LA CRUZ 2011, C.A. (T. PUERTO LA CRUZ)</v>
      </c>
      <c r="L52" s="81"/>
      <c r="M52" s="15">
        <v>12</v>
      </c>
      <c r="N52" s="15"/>
      <c r="O52" s="6"/>
    </row>
    <row r="53" spans="5:15" hidden="1" x14ac:dyDescent="0.3">
      <c r="E53" s="2"/>
      <c r="F53" s="2"/>
      <c r="G53" s="2"/>
      <c r="K53" s="81" t="str">
        <f>IF(MAESTRO!A13="","",MAESTRO!A13)</f>
        <v>OPERADORA PUERTO ORDAZ 2013, C.A.(T. PUERTO ORDAZ)</v>
      </c>
      <c r="L53" s="81"/>
      <c r="M53" s="15">
        <v>13</v>
      </c>
      <c r="N53" s="15"/>
      <c r="O53" s="6"/>
    </row>
    <row r="54" spans="5:15" hidden="1" x14ac:dyDescent="0.3">
      <c r="E54" s="2"/>
      <c r="F54" s="2"/>
      <c r="G54" s="2"/>
      <c r="K54" s="81" t="str">
        <f>IF(MAESTRO!A14="","",MAESTRO!A14)</f>
        <v>OPERADORA LAS AMERICAS, C.A</v>
      </c>
      <c r="L54" s="81"/>
      <c r="M54" s="15">
        <v>14</v>
      </c>
      <c r="N54" s="15"/>
      <c r="O54" s="6"/>
    </row>
    <row r="55" spans="5:15" hidden="1" x14ac:dyDescent="0.3">
      <c r="E55" s="2"/>
      <c r="F55" s="2"/>
      <c r="G55" s="2"/>
      <c r="K55" s="8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81" t="str">
        <f>IF(MAESTRO!A16="","",MAESTRO!A16)</f>
        <v>RELIVE, C.A. (T. CHUPARÍN)</v>
      </c>
    </row>
    <row r="57" spans="5:15" hidden="1" x14ac:dyDescent="0.3">
      <c r="K57" s="81" t="str">
        <f>IF(MAESTRO!A17="","",MAESTRO!A17)</f>
        <v>RELIVE, C.A. (T. TERRAZAS)</v>
      </c>
    </row>
    <row r="58" spans="5:15" hidden="1" x14ac:dyDescent="0.3">
      <c r="K58" s="81" t="str">
        <f>IF(MAESTRO!A18="","",MAESTRO!A18)</f>
        <v>RELIVE, C.A. (T. TIGRE II)</v>
      </c>
    </row>
    <row r="59" spans="5:15" hidden="1" x14ac:dyDescent="0.3">
      <c r="K59" s="81" t="str">
        <f>IF(MAESTRO!A19="","",MAESTRO!A19)</f>
        <v>RELIVE, C.A. (T. TIGRE III)</v>
      </c>
    </row>
    <row r="60" spans="5:15" x14ac:dyDescent="0.3">
      <c r="K60" s="81" t="str">
        <f>IF(MAESTRO!A20="","",MAESTRO!A20)</f>
        <v/>
      </c>
    </row>
    <row r="61" spans="5:15" x14ac:dyDescent="0.3">
      <c r="K61" s="81" t="str">
        <f>IF(MAESTRO!A21="","",MAESTRO!A21)</f>
        <v/>
      </c>
    </row>
  </sheetData>
  <mergeCells count="49">
    <mergeCell ref="A33:B33"/>
    <mergeCell ref="C33:D33"/>
    <mergeCell ref="A35:K36"/>
    <mergeCell ref="B29:C29"/>
    <mergeCell ref="H29:K29"/>
    <mergeCell ref="A30:F30"/>
    <mergeCell ref="G30:K30"/>
    <mergeCell ref="A32:B32"/>
    <mergeCell ref="C32:D32"/>
    <mergeCell ref="B26:C26"/>
    <mergeCell ref="H26:K26"/>
    <mergeCell ref="B27:C27"/>
    <mergeCell ref="H27:K27"/>
    <mergeCell ref="B28:C28"/>
    <mergeCell ref="H28:K28"/>
    <mergeCell ref="B23:C23"/>
    <mergeCell ref="H23:K23"/>
    <mergeCell ref="B24:C24"/>
    <mergeCell ref="H24:K24"/>
    <mergeCell ref="B25:C25"/>
    <mergeCell ref="H25:K25"/>
    <mergeCell ref="B14:C14"/>
    <mergeCell ref="H14:K14"/>
    <mergeCell ref="A15:A22"/>
    <mergeCell ref="B15:C22"/>
    <mergeCell ref="D15:D22"/>
    <mergeCell ref="E15:E22"/>
    <mergeCell ref="F15:F22"/>
    <mergeCell ref="G15:G22"/>
    <mergeCell ref="H22:K22"/>
    <mergeCell ref="B11:C11"/>
    <mergeCell ref="H11:K11"/>
    <mergeCell ref="B12:C12"/>
    <mergeCell ref="H12:K12"/>
    <mergeCell ref="B13:C13"/>
    <mergeCell ref="H13:K13"/>
    <mergeCell ref="A7:K7"/>
    <mergeCell ref="B8:C8"/>
    <mergeCell ref="H8:K8"/>
    <mergeCell ref="B9:C9"/>
    <mergeCell ref="H9:K9"/>
    <mergeCell ref="B10:C10"/>
    <mergeCell ref="H10:K10"/>
    <mergeCell ref="A1:B3"/>
    <mergeCell ref="C1:H3"/>
    <mergeCell ref="J1:K1"/>
    <mergeCell ref="J3:K3"/>
    <mergeCell ref="C5:G5"/>
    <mergeCell ref="I5:J5"/>
  </mergeCells>
  <dataValidations count="4">
    <dataValidation type="list" allowBlank="1" showInputMessage="1" showErrorMessage="1" sqref="D10:D14 D23:D25 D27:D29 D26:F26" xr:uid="{564FE822-EA2A-4F15-B757-C82EA58ADFBF}">
      <formula1>$M$33:$M$49</formula1>
    </dataValidation>
    <dataValidation type="list" allowBlank="1" showInputMessage="1" showErrorMessage="1" sqref="D9" xr:uid="{15B1018D-EC4F-44E2-8E39-0AE41ED77FD4}">
      <formula1>$M$33:$M$48</formula1>
    </dataValidation>
    <dataValidation type="list" allowBlank="1" showInputMessage="1" showErrorMessage="1" sqref="D15 E9:F15 E23:F25 E27:F29" xr:uid="{806AFC79-BB9C-4F42-B7EE-EF5DF27F3C08}">
      <formula1>$M$41:$M$55</formula1>
    </dataValidation>
    <dataValidation type="list" allowBlank="1" showInputMessage="1" showErrorMessage="1" sqref="C5:G5" xr:uid="{0CDC92B8-150D-46F4-A108-917984FEF843}">
      <formula1>$Q$9:$Q$30</formula1>
    </dataValidation>
  </dataValidations>
  <pageMargins left="0.7" right="0.7" top="0.75" bottom="0.75" header="0.3" footer="0.3"/>
  <pageSetup scale="61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E61D3-E437-400B-B6D2-230DA587E6CC}">
  <dimension ref="A1:Q61"/>
  <sheetViews>
    <sheetView view="pageBreakPreview" topLeftCell="A10" zoomScale="90" zoomScaleNormal="100" zoomScaleSheetLayoutView="90" workbookViewId="0">
      <selection activeCell="D26" sqref="D26"/>
    </sheetView>
  </sheetViews>
  <sheetFormatPr baseColWidth="10" defaultColWidth="11.44140625" defaultRowHeight="14.4" x14ac:dyDescent="0.3"/>
  <cols>
    <col min="1" max="1" width="4.109375" style="2" customWidth="1" collapsed="1"/>
    <col min="2" max="2" width="15" style="2" customWidth="1" collapsed="1"/>
    <col min="3" max="3" width="24.1093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12.33203125" style="2" customWidth="1" collapsed="1"/>
    <col min="9" max="9" width="13" style="2" customWidth="1" collapsed="1"/>
    <col min="10" max="10" width="16.6640625" style="2" customWidth="1" collapsed="1"/>
    <col min="11" max="11" width="12.5546875" style="2" customWidth="1" collapsed="1"/>
    <col min="12" max="12" width="14.44140625" style="2" customWidth="1" collapsed="1"/>
    <col min="13" max="14" width="11.44140625" style="6" customWidth="1" collapsed="1"/>
    <col min="15" max="15" width="11.44140625" style="2" customWidth="1" collapsed="1"/>
    <col min="16" max="17" width="11.44140625" style="2" hidden="1" customWidth="1" collapsed="1"/>
    <col min="18" max="18" width="0" style="2" hidden="1" customWidth="1" collapsed="1"/>
    <col min="19" max="16384" width="11.44140625" style="2" collapsed="1"/>
  </cols>
  <sheetData>
    <row r="1" spans="1:17" ht="15" customHeight="1" x14ac:dyDescent="0.3">
      <c r="A1" s="149"/>
      <c r="B1" s="149"/>
      <c r="C1" s="156" t="s">
        <v>16</v>
      </c>
      <c r="D1" s="157"/>
      <c r="E1" s="157"/>
      <c r="F1" s="157"/>
      <c r="G1" s="157"/>
      <c r="H1" s="158"/>
      <c r="I1" s="30" t="s">
        <v>25</v>
      </c>
      <c r="J1" s="210" t="s">
        <v>49</v>
      </c>
      <c r="K1" s="211"/>
    </row>
    <row r="2" spans="1:17" ht="18.75" customHeight="1" x14ac:dyDescent="0.3">
      <c r="A2" s="149"/>
      <c r="B2" s="149"/>
      <c r="C2" s="159"/>
      <c r="D2" s="160"/>
      <c r="E2" s="160"/>
      <c r="F2" s="160"/>
      <c r="G2" s="160"/>
      <c r="H2" s="161"/>
      <c r="I2" s="30" t="s">
        <v>26</v>
      </c>
      <c r="J2" s="31" t="s">
        <v>83</v>
      </c>
      <c r="K2" s="56">
        <v>42720</v>
      </c>
    </row>
    <row r="3" spans="1:17" x14ac:dyDescent="0.3">
      <c r="A3" s="149"/>
      <c r="B3" s="149"/>
      <c r="C3" s="162"/>
      <c r="D3" s="163"/>
      <c r="E3" s="163"/>
      <c r="F3" s="163"/>
      <c r="G3" s="163"/>
      <c r="H3" s="164"/>
      <c r="I3" s="30" t="s">
        <v>27</v>
      </c>
      <c r="J3" s="154">
        <v>42286</v>
      </c>
      <c r="K3" s="155"/>
    </row>
    <row r="4" spans="1:17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7" x14ac:dyDescent="0.3">
      <c r="A5" s="3"/>
      <c r="B5" s="13" t="s">
        <v>32</v>
      </c>
      <c r="C5" s="150" t="s">
        <v>164</v>
      </c>
      <c r="D5" s="150"/>
      <c r="E5" s="150"/>
      <c r="F5" s="150"/>
      <c r="G5" s="150"/>
      <c r="H5" s="13" t="s">
        <v>0</v>
      </c>
      <c r="I5" s="151">
        <v>46157</v>
      </c>
      <c r="J5" s="151"/>
    </row>
    <row r="6" spans="1:17" x14ac:dyDescent="0.3">
      <c r="A6" s="18"/>
      <c r="E6" s="19"/>
      <c r="F6" s="19"/>
      <c r="G6" s="11"/>
    </row>
    <row r="7" spans="1:17" ht="15.6" x14ac:dyDescent="0.3">
      <c r="A7" s="147" t="s">
        <v>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7" ht="28.8" x14ac:dyDescent="0.3">
      <c r="A8" s="114" t="s">
        <v>1</v>
      </c>
      <c r="B8" s="165" t="s">
        <v>9</v>
      </c>
      <c r="C8" s="166"/>
      <c r="D8" s="20" t="s">
        <v>52</v>
      </c>
      <c r="E8" s="9" t="s">
        <v>50</v>
      </c>
      <c r="F8" s="9" t="s">
        <v>51</v>
      </c>
      <c r="G8" s="14" t="s">
        <v>23</v>
      </c>
      <c r="H8" s="148" t="s">
        <v>33</v>
      </c>
      <c r="I8" s="148"/>
      <c r="J8" s="148"/>
      <c r="K8" s="148"/>
      <c r="M8" s="2"/>
      <c r="N8" s="2"/>
    </row>
    <row r="9" spans="1:17" x14ac:dyDescent="0.3">
      <c r="A9" s="29">
        <v>1</v>
      </c>
      <c r="B9" s="124" t="s">
        <v>29</v>
      </c>
      <c r="C9" s="125"/>
      <c r="D9" s="28">
        <v>2</v>
      </c>
      <c r="E9" s="7">
        <v>2</v>
      </c>
      <c r="F9" s="7">
        <v>2</v>
      </c>
      <c r="G9" s="22">
        <f>IF(D9="","",IF(D9=0,"-",IF(F9&gt;D9,"ERROR",IF(E9&gt;D9,"ERROR",IF(E9&lt;D9,0,IF(E9&gt;F9,0,IF(F9=D9,1,0)))))))</f>
        <v>1</v>
      </c>
      <c r="H9" s="134"/>
      <c r="I9" s="134"/>
      <c r="J9" s="134"/>
      <c r="K9" s="134"/>
      <c r="Q9" s="2" t="s">
        <v>2</v>
      </c>
    </row>
    <row r="10" spans="1:17" x14ac:dyDescent="0.3">
      <c r="A10" s="29">
        <v>2</v>
      </c>
      <c r="B10" s="124" t="s">
        <v>28</v>
      </c>
      <c r="C10" s="125"/>
      <c r="D10" s="28">
        <v>2</v>
      </c>
      <c r="E10" s="7">
        <v>2</v>
      </c>
      <c r="F10" s="7">
        <v>2</v>
      </c>
      <c r="G10" s="22">
        <f t="shared" ref="G10:G29" si="0">IF(D10="","",IF(D10=0,"-",IF(F10&gt;D10,"ERROR",IF(E10&gt;D10,"ERROR",IF(E10&lt;D10,0,IF(E10&gt;F10,0,IF(F10=D10,1,0)))))))</f>
        <v>1</v>
      </c>
      <c r="H10" s="134"/>
      <c r="I10" s="134"/>
      <c r="J10" s="134"/>
      <c r="K10" s="134"/>
      <c r="Q10" s="2" t="s">
        <v>48</v>
      </c>
    </row>
    <row r="11" spans="1:17" x14ac:dyDescent="0.3">
      <c r="A11" s="29">
        <v>3</v>
      </c>
      <c r="B11" s="124" t="s">
        <v>31</v>
      </c>
      <c r="C11" s="125"/>
      <c r="D11" s="28">
        <v>2</v>
      </c>
      <c r="E11" s="7">
        <v>2</v>
      </c>
      <c r="F11" s="7">
        <v>2</v>
      </c>
      <c r="G11" s="22">
        <f t="shared" si="0"/>
        <v>1</v>
      </c>
      <c r="H11" s="134"/>
      <c r="I11" s="134"/>
      <c r="J11" s="134"/>
      <c r="K11" s="134"/>
      <c r="Q11" s="2" t="s">
        <v>121</v>
      </c>
    </row>
    <row r="12" spans="1:17" x14ac:dyDescent="0.3">
      <c r="A12" s="29">
        <v>4</v>
      </c>
      <c r="B12" s="124" t="s">
        <v>30</v>
      </c>
      <c r="C12" s="125"/>
      <c r="D12" s="28">
        <v>2</v>
      </c>
      <c r="E12" s="7">
        <v>2</v>
      </c>
      <c r="F12" s="7">
        <v>2</v>
      </c>
      <c r="G12" s="22">
        <f t="shared" si="0"/>
        <v>1</v>
      </c>
      <c r="H12" s="134"/>
      <c r="I12" s="134"/>
      <c r="J12" s="134"/>
      <c r="K12" s="134"/>
      <c r="Q12" s="2" t="s">
        <v>13</v>
      </c>
    </row>
    <row r="13" spans="1:17" x14ac:dyDescent="0.3">
      <c r="A13" s="29">
        <v>5</v>
      </c>
      <c r="B13" s="124" t="s">
        <v>22</v>
      </c>
      <c r="C13" s="125"/>
      <c r="D13" s="28">
        <v>2</v>
      </c>
      <c r="E13" s="7">
        <v>2</v>
      </c>
      <c r="F13" s="7">
        <v>2</v>
      </c>
      <c r="G13" s="22">
        <f t="shared" si="0"/>
        <v>1</v>
      </c>
      <c r="H13" s="134"/>
      <c r="I13" s="134"/>
      <c r="J13" s="134"/>
      <c r="K13" s="134"/>
      <c r="Q13" s="2" t="s">
        <v>47</v>
      </c>
    </row>
    <row r="14" spans="1:17" x14ac:dyDescent="0.3">
      <c r="A14" s="29">
        <v>6</v>
      </c>
      <c r="B14" s="126" t="s">
        <v>55</v>
      </c>
      <c r="C14" s="127"/>
      <c r="D14" s="28">
        <v>1</v>
      </c>
      <c r="E14" s="7">
        <v>1</v>
      </c>
      <c r="F14" s="7">
        <v>1</v>
      </c>
      <c r="G14" s="22">
        <f t="shared" si="0"/>
        <v>1</v>
      </c>
      <c r="H14" s="134"/>
      <c r="I14" s="134"/>
      <c r="J14" s="134"/>
      <c r="K14" s="134"/>
      <c r="Q14" s="2" t="s">
        <v>12</v>
      </c>
    </row>
    <row r="15" spans="1:17" x14ac:dyDescent="0.3">
      <c r="A15" s="117">
        <v>7</v>
      </c>
      <c r="B15" s="135" t="s">
        <v>24</v>
      </c>
      <c r="C15" s="136"/>
      <c r="D15" s="141">
        <v>1</v>
      </c>
      <c r="E15" s="144">
        <v>1</v>
      </c>
      <c r="F15" s="144">
        <v>1</v>
      </c>
      <c r="G15" s="128">
        <f>IF(D15="","",IF(D15=0,"-",IF(F15&gt;D15,"ERROR",IF(E15&gt;D15,"ERROR",IF(E15&lt;D15,0,IF(E15&gt;F15,0,IF(F15=D15,1,0)))))))</f>
        <v>1</v>
      </c>
      <c r="H15" s="51" t="s">
        <v>63</v>
      </c>
      <c r="I15" s="69"/>
      <c r="J15" s="51" t="s">
        <v>62</v>
      </c>
      <c r="K15" s="113"/>
      <c r="Q15" s="2" t="s">
        <v>122</v>
      </c>
    </row>
    <row r="16" spans="1:17" x14ac:dyDescent="0.3">
      <c r="A16" s="118"/>
      <c r="B16" s="137"/>
      <c r="C16" s="138"/>
      <c r="D16" s="142"/>
      <c r="E16" s="145"/>
      <c r="F16" s="145"/>
      <c r="G16" s="129"/>
      <c r="H16" s="51" t="s">
        <v>64</v>
      </c>
      <c r="I16" s="69"/>
      <c r="J16" s="51" t="s">
        <v>62</v>
      </c>
      <c r="K16" s="113"/>
      <c r="M16" s="2"/>
      <c r="N16" s="2"/>
      <c r="Q16" s="2" t="s">
        <v>123</v>
      </c>
    </row>
    <row r="17" spans="1:17" x14ac:dyDescent="0.3">
      <c r="A17" s="118"/>
      <c r="B17" s="137"/>
      <c r="C17" s="138"/>
      <c r="D17" s="142"/>
      <c r="E17" s="145"/>
      <c r="F17" s="145"/>
      <c r="G17" s="129"/>
      <c r="H17" s="51" t="s">
        <v>65</v>
      </c>
      <c r="I17" s="113"/>
      <c r="J17" s="51" t="s">
        <v>62</v>
      </c>
      <c r="K17" s="113"/>
      <c r="M17" s="2"/>
      <c r="N17" s="2"/>
      <c r="Q17" s="2" t="s">
        <v>14</v>
      </c>
    </row>
    <row r="18" spans="1:17" x14ac:dyDescent="0.3">
      <c r="A18" s="118"/>
      <c r="B18" s="137"/>
      <c r="C18" s="138"/>
      <c r="D18" s="142"/>
      <c r="E18" s="145"/>
      <c r="F18" s="145"/>
      <c r="G18" s="129"/>
      <c r="H18" s="51" t="s">
        <v>66</v>
      </c>
      <c r="I18" s="113"/>
      <c r="J18" s="51" t="s">
        <v>62</v>
      </c>
      <c r="K18" s="113"/>
      <c r="M18" s="2"/>
      <c r="N18" s="2"/>
      <c r="Q18" s="2" t="s">
        <v>6</v>
      </c>
    </row>
    <row r="19" spans="1:17" x14ac:dyDescent="0.3">
      <c r="A19" s="118"/>
      <c r="B19" s="137"/>
      <c r="C19" s="138"/>
      <c r="D19" s="142"/>
      <c r="E19" s="145"/>
      <c r="F19" s="145"/>
      <c r="G19" s="129"/>
      <c r="H19" s="51" t="s">
        <v>67</v>
      </c>
      <c r="I19" s="113"/>
      <c r="J19" s="51" t="s">
        <v>62</v>
      </c>
      <c r="K19" s="113"/>
      <c r="M19" s="2"/>
      <c r="N19" s="2"/>
      <c r="Q19" s="2" t="s">
        <v>78</v>
      </c>
    </row>
    <row r="20" spans="1:17" x14ac:dyDescent="0.3">
      <c r="A20" s="118"/>
      <c r="B20" s="137"/>
      <c r="C20" s="138"/>
      <c r="D20" s="142"/>
      <c r="E20" s="145"/>
      <c r="F20" s="145"/>
      <c r="G20" s="129"/>
      <c r="H20" s="51" t="s">
        <v>68</v>
      </c>
      <c r="I20" s="112"/>
      <c r="J20" s="51" t="s">
        <v>62</v>
      </c>
      <c r="K20" s="113"/>
      <c r="M20" s="2"/>
      <c r="N20" s="2"/>
      <c r="Q20" s="2" t="s">
        <v>7</v>
      </c>
    </row>
    <row r="21" spans="1:17" x14ac:dyDescent="0.3">
      <c r="A21" s="118"/>
      <c r="B21" s="137"/>
      <c r="C21" s="138"/>
      <c r="D21" s="142"/>
      <c r="E21" s="145"/>
      <c r="F21" s="145"/>
      <c r="G21" s="129"/>
      <c r="H21" s="51" t="s">
        <v>69</v>
      </c>
      <c r="I21" s="112"/>
      <c r="J21" s="51" t="s">
        <v>62</v>
      </c>
      <c r="K21" s="113"/>
      <c r="L21" s="4"/>
      <c r="M21" s="2"/>
      <c r="N21" s="2"/>
      <c r="Q21" s="2" t="s">
        <v>124</v>
      </c>
    </row>
    <row r="22" spans="1:17" x14ac:dyDescent="0.3">
      <c r="A22" s="119"/>
      <c r="B22" s="139"/>
      <c r="C22" s="140"/>
      <c r="D22" s="143"/>
      <c r="E22" s="146"/>
      <c r="F22" s="146"/>
      <c r="G22" s="130"/>
      <c r="H22" s="131"/>
      <c r="I22" s="132"/>
      <c r="J22" s="132"/>
      <c r="K22" s="133"/>
      <c r="L22" s="4"/>
      <c r="M22" s="2"/>
      <c r="N22" s="2"/>
      <c r="Q22" s="2" t="s">
        <v>125</v>
      </c>
    </row>
    <row r="23" spans="1:17" x14ac:dyDescent="0.3">
      <c r="A23" s="29">
        <v>8</v>
      </c>
      <c r="B23" s="126" t="s">
        <v>21</v>
      </c>
      <c r="C23" s="127"/>
      <c r="D23" s="28">
        <v>1</v>
      </c>
      <c r="E23" s="7">
        <v>1</v>
      </c>
      <c r="F23" s="7">
        <v>1</v>
      </c>
      <c r="G23" s="22">
        <f t="shared" si="0"/>
        <v>1</v>
      </c>
      <c r="H23" s="134"/>
      <c r="I23" s="134"/>
      <c r="J23" s="134"/>
      <c r="K23" s="134"/>
      <c r="M23" s="2"/>
      <c r="N23" s="2"/>
      <c r="Q23" s="2" t="s">
        <v>126</v>
      </c>
    </row>
    <row r="24" spans="1:17" x14ac:dyDescent="0.3">
      <c r="A24" s="29">
        <v>9</v>
      </c>
      <c r="B24" s="216" t="s">
        <v>20</v>
      </c>
      <c r="C24" s="217"/>
      <c r="D24" s="28">
        <v>1</v>
      </c>
      <c r="E24" s="7">
        <v>1</v>
      </c>
      <c r="F24" s="7">
        <v>1</v>
      </c>
      <c r="G24" s="22">
        <f t="shared" si="0"/>
        <v>1</v>
      </c>
      <c r="H24" s="175"/>
      <c r="I24" s="176"/>
      <c r="J24" s="176"/>
      <c r="K24" s="177"/>
      <c r="M24" s="2"/>
      <c r="N24" s="2"/>
      <c r="Q24" s="2" t="s">
        <v>127</v>
      </c>
    </row>
    <row r="25" spans="1:17" x14ac:dyDescent="0.3">
      <c r="A25" s="29">
        <v>10</v>
      </c>
      <c r="B25" s="124" t="s">
        <v>8</v>
      </c>
      <c r="C25" s="125"/>
      <c r="D25" s="28">
        <v>2</v>
      </c>
      <c r="E25" s="7">
        <v>2</v>
      </c>
      <c r="F25" s="7">
        <v>2</v>
      </c>
      <c r="G25" s="22">
        <f t="shared" si="0"/>
        <v>1</v>
      </c>
      <c r="H25" s="134"/>
      <c r="I25" s="134"/>
      <c r="J25" s="134"/>
      <c r="K25" s="134"/>
      <c r="M25" s="2"/>
      <c r="N25" s="2"/>
      <c r="Q25" s="2" t="s">
        <v>128</v>
      </c>
    </row>
    <row r="26" spans="1:17" x14ac:dyDescent="0.3">
      <c r="A26" s="29">
        <v>11</v>
      </c>
      <c r="B26" s="122" t="s">
        <v>132</v>
      </c>
      <c r="C26" s="123"/>
      <c r="D26" s="28">
        <v>0</v>
      </c>
      <c r="E26" s="28">
        <v>0</v>
      </c>
      <c r="F26" s="28">
        <v>0</v>
      </c>
      <c r="G26" s="22" t="str">
        <f t="shared" si="0"/>
        <v>-</v>
      </c>
      <c r="H26" s="175" t="s">
        <v>135</v>
      </c>
      <c r="I26" s="176"/>
      <c r="J26" s="176"/>
      <c r="K26" s="177"/>
      <c r="M26" s="2"/>
      <c r="N26" s="2"/>
      <c r="Q26" s="2" t="s">
        <v>129</v>
      </c>
    </row>
    <row r="27" spans="1:17" ht="18" customHeight="1" x14ac:dyDescent="0.3">
      <c r="A27" s="29">
        <v>12</v>
      </c>
      <c r="B27" s="120" t="s">
        <v>60</v>
      </c>
      <c r="C27" s="121"/>
      <c r="D27" s="28">
        <v>1</v>
      </c>
      <c r="E27" s="7">
        <v>1</v>
      </c>
      <c r="F27" s="7">
        <v>1</v>
      </c>
      <c r="G27" s="22">
        <f t="shared" si="0"/>
        <v>1</v>
      </c>
      <c r="H27" s="134"/>
      <c r="I27" s="134"/>
      <c r="J27" s="134"/>
      <c r="K27" s="134"/>
      <c r="Q27" s="2" t="s">
        <v>130</v>
      </c>
    </row>
    <row r="28" spans="1:17" ht="18" customHeight="1" x14ac:dyDescent="0.3">
      <c r="A28" s="29">
        <v>13</v>
      </c>
      <c r="B28" s="195" t="s">
        <v>56</v>
      </c>
      <c r="C28" s="196"/>
      <c r="D28" s="116">
        <v>1</v>
      </c>
      <c r="E28" s="7">
        <v>1</v>
      </c>
      <c r="F28" s="7">
        <v>1</v>
      </c>
      <c r="G28" s="115">
        <f t="shared" si="0"/>
        <v>1</v>
      </c>
      <c r="H28" s="197"/>
      <c r="I28" s="197"/>
      <c r="J28" s="197"/>
      <c r="K28" s="197"/>
      <c r="Q28" s="2" t="s">
        <v>165</v>
      </c>
    </row>
    <row r="29" spans="1:17" ht="18" customHeight="1" thickBot="1" x14ac:dyDescent="0.35">
      <c r="A29" s="29">
        <v>14</v>
      </c>
      <c r="B29" s="203" t="s">
        <v>70</v>
      </c>
      <c r="C29" s="204"/>
      <c r="D29" s="28">
        <v>1</v>
      </c>
      <c r="E29" s="7">
        <v>1</v>
      </c>
      <c r="F29" s="7">
        <v>1</v>
      </c>
      <c r="G29" s="22">
        <f t="shared" si="0"/>
        <v>1</v>
      </c>
      <c r="H29" s="134"/>
      <c r="I29" s="134"/>
      <c r="J29" s="134"/>
      <c r="K29" s="134"/>
      <c r="Q29" s="2" t="s">
        <v>164</v>
      </c>
    </row>
    <row r="30" spans="1:17" ht="19.5" customHeight="1" thickBot="1" x14ac:dyDescent="0.35">
      <c r="A30" s="198" t="s">
        <v>57</v>
      </c>
      <c r="B30" s="199"/>
      <c r="C30" s="199"/>
      <c r="D30" s="199"/>
      <c r="E30" s="199"/>
      <c r="F30" s="199"/>
      <c r="G30" s="200">
        <f>IFERROR(AVERAGE(G9:G28),"-")</f>
        <v>1</v>
      </c>
      <c r="H30" s="201"/>
      <c r="I30" s="201"/>
      <c r="J30" s="201"/>
      <c r="K30" s="202"/>
      <c r="Q30" s="2" t="s">
        <v>163</v>
      </c>
    </row>
    <row r="31" spans="1:17" x14ac:dyDescent="0.3">
      <c r="A31" s="34"/>
      <c r="E31" s="17"/>
      <c r="F31" s="35"/>
      <c r="G31" s="36"/>
      <c r="H31" s="25"/>
      <c r="I31" s="37"/>
      <c r="J31" s="23"/>
    </row>
    <row r="32" spans="1:17" x14ac:dyDescent="0.3">
      <c r="A32" s="193" t="s">
        <v>59</v>
      </c>
      <c r="B32" s="193"/>
      <c r="C32" s="215" t="s">
        <v>167</v>
      </c>
      <c r="D32" s="215"/>
      <c r="E32" s="38"/>
      <c r="F32" s="38"/>
      <c r="G32" s="24"/>
      <c r="H32" s="25"/>
      <c r="I32" s="26"/>
      <c r="J32" s="25"/>
    </row>
    <row r="33" spans="1:16" x14ac:dyDescent="0.3">
      <c r="A33" s="193" t="s">
        <v>61</v>
      </c>
      <c r="B33" s="193"/>
      <c r="C33" s="184" t="s">
        <v>89</v>
      </c>
      <c r="D33" s="185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92" t="s">
        <v>58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</row>
    <row r="36" spans="1:16" x14ac:dyDescent="0.3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17</v>
      </c>
      <c r="M39" s="21" t="s">
        <v>54</v>
      </c>
      <c r="N39" s="21" t="s">
        <v>53</v>
      </c>
      <c r="O39" s="42" t="s">
        <v>34</v>
      </c>
    </row>
    <row r="40" spans="1:16" ht="15.6" hidden="1" x14ac:dyDescent="0.3">
      <c r="K40" s="5" t="s">
        <v>10</v>
      </c>
      <c r="L40" s="8" t="s">
        <v>18</v>
      </c>
      <c r="M40" s="6">
        <v>0</v>
      </c>
      <c r="N40" s="44" t="s">
        <v>18</v>
      </c>
      <c r="O40" s="6" t="s">
        <v>35</v>
      </c>
      <c r="P40" s="10"/>
    </row>
    <row r="41" spans="1:16" hidden="1" x14ac:dyDescent="0.3">
      <c r="K41" s="81" t="str">
        <f>IF(MAESTRO!A1="","",MAESTRO!A1)</f>
        <v>******SUCURSALES</v>
      </c>
      <c r="L41" s="43" t="s">
        <v>19</v>
      </c>
      <c r="M41" s="15">
        <v>1</v>
      </c>
      <c r="N41" s="43" t="s">
        <v>19</v>
      </c>
      <c r="O41" s="6" t="s">
        <v>36</v>
      </c>
    </row>
    <row r="42" spans="1:16" hidden="1" x14ac:dyDescent="0.3">
      <c r="K42" s="81" t="str">
        <f>IF(MAESTRO!A2="","",MAESTRO!A2)</f>
        <v>LA CASA DE LA CAÑA, C.A. (T. ALTERNA)</v>
      </c>
      <c r="M42" s="16">
        <v>2</v>
      </c>
      <c r="N42" s="16"/>
      <c r="O42" s="6" t="s">
        <v>37</v>
      </c>
    </row>
    <row r="43" spans="1:16" hidden="1" x14ac:dyDescent="0.3">
      <c r="K43" s="81" t="str">
        <f>IF(MAESTRO!A3="","",MAESTRO!A3)</f>
        <v>LA CASA DE LA CAÑA, C.A. (T. ANACO)</v>
      </c>
      <c r="M43" s="16">
        <v>3</v>
      </c>
      <c r="N43" s="16"/>
      <c r="O43" s="6" t="s">
        <v>38</v>
      </c>
    </row>
    <row r="44" spans="1:16" hidden="1" x14ac:dyDescent="0.3">
      <c r="K44" s="81" t="str">
        <f>IF(MAESTRO!A4="","",MAESTRO!A4)</f>
        <v>LA CASA DE LA CAÑA, C.A. (T. CUMANÁ)</v>
      </c>
      <c r="L44" s="81"/>
      <c r="M44" s="16">
        <v>4</v>
      </c>
      <c r="N44" s="15"/>
      <c r="O44" s="6" t="s">
        <v>39</v>
      </c>
    </row>
    <row r="45" spans="1:16" hidden="1" x14ac:dyDescent="0.3">
      <c r="K45" s="81" t="str">
        <f>IF(MAESTRO!A5="","",MAESTRO!A5)</f>
        <v>LA CASA DE LA CAÑA, C.A. (T. MATURÍN I)</v>
      </c>
      <c r="L45" s="81"/>
      <c r="M45" s="15">
        <v>5</v>
      </c>
      <c r="N45" s="15"/>
      <c r="O45" s="6" t="s">
        <v>40</v>
      </c>
    </row>
    <row r="46" spans="1:16" hidden="1" x14ac:dyDescent="0.3">
      <c r="K46" s="81" t="str">
        <f>IF(MAESTRO!A6="","",MAESTRO!A6)</f>
        <v>LA CASA DE LA CAÑA, C.A. (T. MATURÍN II)</v>
      </c>
      <c r="L46" s="81"/>
      <c r="M46" s="15">
        <v>6</v>
      </c>
      <c r="N46" s="15"/>
      <c r="O46" s="6" t="s">
        <v>41</v>
      </c>
    </row>
    <row r="47" spans="1:16" hidden="1" x14ac:dyDescent="0.3">
      <c r="K47" s="81" t="str">
        <f>IF(MAESTRO!A7="","",MAESTRO!A7)</f>
        <v>LA CASA DE LA CAÑA, C.A. (T. NVA. BARCELONA)</v>
      </c>
      <c r="L47" s="81"/>
      <c r="M47" s="15">
        <v>7</v>
      </c>
      <c r="N47" s="15"/>
      <c r="O47" s="6" t="s">
        <v>42</v>
      </c>
    </row>
    <row r="48" spans="1:16" hidden="1" x14ac:dyDescent="0.3">
      <c r="K48" s="81" t="str">
        <f>IF(MAESTRO!A8="","",MAESTRO!A8)</f>
        <v>INVERSIONES CAÑANDONGA,C.A (T. CONEJERO)</v>
      </c>
      <c r="L48" s="81"/>
      <c r="M48" s="15">
        <v>8</v>
      </c>
      <c r="N48" s="15"/>
      <c r="O48" s="6" t="s">
        <v>43</v>
      </c>
    </row>
    <row r="49" spans="5:15" hidden="1" x14ac:dyDescent="0.3">
      <c r="E49" s="2"/>
      <c r="F49" s="2"/>
      <c r="G49" s="2"/>
      <c r="K49" s="81" t="str">
        <f>IF(MAESTRO!A9="","",MAESTRO!A9)</f>
        <v>OPERADORA EL MERCADO 2011, C.A. (T. MERCADO)</v>
      </c>
      <c r="L49" s="81"/>
      <c r="M49" s="15">
        <v>9</v>
      </c>
      <c r="N49" s="15"/>
      <c r="O49" s="6" t="s">
        <v>44</v>
      </c>
    </row>
    <row r="50" spans="5:15" hidden="1" x14ac:dyDescent="0.3">
      <c r="E50" s="2"/>
      <c r="F50" s="2"/>
      <c r="G50" s="2"/>
      <c r="K50" s="81" t="str">
        <f>IF(MAESTRO!A10="","",MAESTRO!A10)</f>
        <v>OPERADORA EL PUENTE 2011, C.A. (T. PUENTE REAL)</v>
      </c>
      <c r="L50" s="81"/>
      <c r="M50" s="15">
        <v>10</v>
      </c>
      <c r="N50" s="15"/>
      <c r="O50" s="6" t="s">
        <v>45</v>
      </c>
    </row>
    <row r="51" spans="5:15" hidden="1" x14ac:dyDescent="0.3">
      <c r="E51" s="2"/>
      <c r="F51" s="2"/>
      <c r="G51" s="2"/>
      <c r="K51" s="81" t="str">
        <f>IF(MAESTRO!A11="","",MAESTRO!A11)</f>
        <v>OPERADORA LECHERÍA 2011, C.A. (T. LECHERÍA)</v>
      </c>
      <c r="L51" s="81"/>
      <c r="M51" s="15">
        <v>11</v>
      </c>
      <c r="N51" s="15"/>
      <c r="O51" s="6" t="s">
        <v>46</v>
      </c>
    </row>
    <row r="52" spans="5:15" hidden="1" x14ac:dyDescent="0.3">
      <c r="E52" s="2"/>
      <c r="F52" s="2"/>
      <c r="G52" s="2"/>
      <c r="K52" s="81" t="str">
        <f>IF(MAESTRO!A12="","",MAESTRO!A12)</f>
        <v>OPERADORA PUERTO LA CRUZ 2011, C.A. (T. PUERTO LA CRUZ)</v>
      </c>
      <c r="L52" s="81"/>
      <c r="M52" s="15">
        <v>12</v>
      </c>
      <c r="N52" s="15"/>
      <c r="O52" s="6"/>
    </row>
    <row r="53" spans="5:15" hidden="1" x14ac:dyDescent="0.3">
      <c r="E53" s="2"/>
      <c r="F53" s="2"/>
      <c r="G53" s="2"/>
      <c r="K53" s="81" t="str">
        <f>IF(MAESTRO!A13="","",MAESTRO!A13)</f>
        <v>OPERADORA PUERTO ORDAZ 2013, C.A.(T. PUERTO ORDAZ)</v>
      </c>
      <c r="L53" s="81"/>
      <c r="M53" s="15">
        <v>13</v>
      </c>
      <c r="N53" s="15"/>
      <c r="O53" s="6"/>
    </row>
    <row r="54" spans="5:15" hidden="1" x14ac:dyDescent="0.3">
      <c r="E54" s="2"/>
      <c r="F54" s="2"/>
      <c r="G54" s="2"/>
      <c r="K54" s="81" t="str">
        <f>IF(MAESTRO!A14="","",MAESTRO!A14)</f>
        <v>OPERADORA LAS AMERICAS, C.A</v>
      </c>
      <c r="L54" s="81"/>
      <c r="M54" s="15">
        <v>14</v>
      </c>
      <c r="N54" s="15"/>
      <c r="O54" s="6"/>
    </row>
    <row r="55" spans="5:15" hidden="1" x14ac:dyDescent="0.3">
      <c r="E55" s="2"/>
      <c r="F55" s="2"/>
      <c r="G55" s="2"/>
      <c r="K55" s="8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81" t="str">
        <f>IF(MAESTRO!A16="","",MAESTRO!A16)</f>
        <v>RELIVE, C.A. (T. CHUPARÍN)</v>
      </c>
    </row>
    <row r="57" spans="5:15" hidden="1" x14ac:dyDescent="0.3">
      <c r="K57" s="81" t="str">
        <f>IF(MAESTRO!A17="","",MAESTRO!A17)</f>
        <v>RELIVE, C.A. (T. TERRAZAS)</v>
      </c>
    </row>
    <row r="58" spans="5:15" hidden="1" x14ac:dyDescent="0.3">
      <c r="K58" s="81" t="str">
        <f>IF(MAESTRO!A18="","",MAESTRO!A18)</f>
        <v>RELIVE, C.A. (T. TIGRE II)</v>
      </c>
    </row>
    <row r="59" spans="5:15" hidden="1" x14ac:dyDescent="0.3">
      <c r="K59" s="81" t="str">
        <f>IF(MAESTRO!A19="","",MAESTRO!A19)</f>
        <v>RELIVE, C.A. (T. TIGRE III)</v>
      </c>
    </row>
    <row r="60" spans="5:15" x14ac:dyDescent="0.3">
      <c r="K60" s="81" t="str">
        <f>IF(MAESTRO!A20="","",MAESTRO!A20)</f>
        <v/>
      </c>
    </row>
    <row r="61" spans="5:15" x14ac:dyDescent="0.3">
      <c r="K61" s="81" t="str">
        <f>IF(MAESTRO!A21="","",MAESTRO!A21)</f>
        <v/>
      </c>
    </row>
  </sheetData>
  <mergeCells count="49">
    <mergeCell ref="A33:B33"/>
    <mergeCell ref="C33:D33"/>
    <mergeCell ref="A35:K36"/>
    <mergeCell ref="B29:C29"/>
    <mergeCell ref="H29:K29"/>
    <mergeCell ref="A30:F30"/>
    <mergeCell ref="G30:K30"/>
    <mergeCell ref="A32:B32"/>
    <mergeCell ref="C32:D32"/>
    <mergeCell ref="B26:C26"/>
    <mergeCell ref="H26:K26"/>
    <mergeCell ref="B27:C27"/>
    <mergeCell ref="H27:K27"/>
    <mergeCell ref="B28:C28"/>
    <mergeCell ref="H28:K28"/>
    <mergeCell ref="B23:C23"/>
    <mergeCell ref="H23:K23"/>
    <mergeCell ref="B24:C24"/>
    <mergeCell ref="H24:K24"/>
    <mergeCell ref="B25:C25"/>
    <mergeCell ref="H25:K25"/>
    <mergeCell ref="B14:C14"/>
    <mergeCell ref="H14:K14"/>
    <mergeCell ref="A15:A22"/>
    <mergeCell ref="B15:C22"/>
    <mergeCell ref="D15:D22"/>
    <mergeCell ref="E15:E22"/>
    <mergeCell ref="F15:F22"/>
    <mergeCell ref="G15:G22"/>
    <mergeCell ref="H22:K22"/>
    <mergeCell ref="B11:C11"/>
    <mergeCell ref="H11:K11"/>
    <mergeCell ref="B12:C12"/>
    <mergeCell ref="H12:K12"/>
    <mergeCell ref="B13:C13"/>
    <mergeCell ref="H13:K13"/>
    <mergeCell ref="A7:K7"/>
    <mergeCell ref="B8:C8"/>
    <mergeCell ref="H8:K8"/>
    <mergeCell ref="B9:C9"/>
    <mergeCell ref="H9:K9"/>
    <mergeCell ref="B10:C10"/>
    <mergeCell ref="H10:K10"/>
    <mergeCell ref="A1:B3"/>
    <mergeCell ref="C1:H3"/>
    <mergeCell ref="J1:K1"/>
    <mergeCell ref="J3:K3"/>
    <mergeCell ref="C5:G5"/>
    <mergeCell ref="I5:J5"/>
  </mergeCells>
  <dataValidations count="4">
    <dataValidation type="list" allowBlank="1" showInputMessage="1" showErrorMessage="1" sqref="C5:G5" xr:uid="{A20E40C4-B84A-4FA3-8741-F1CB00A627F3}">
      <formula1>$Q$9:$Q$30</formula1>
    </dataValidation>
    <dataValidation type="list" allowBlank="1" showInputMessage="1" showErrorMessage="1" sqref="D15 E9:F15 E23:F25 E27:F29" xr:uid="{304BDDC0-A9EC-40E3-B492-30349B8C12AF}">
      <formula1>$M$41:$M$55</formula1>
    </dataValidation>
    <dataValidation type="list" allowBlank="1" showInputMessage="1" showErrorMessage="1" sqref="D9" xr:uid="{2DE8BCA0-C30C-46C6-A218-A5CFD499506B}">
      <formula1>$M$33:$M$48</formula1>
    </dataValidation>
    <dataValidation type="list" allowBlank="1" showInputMessage="1" showErrorMessage="1" sqref="D10:D14 D23:D25 D27:D29 D26:F26" xr:uid="{0923E9E1-43B5-41BE-BD7B-1ADB6D784E5F}">
      <formula1>$M$33:$M$49</formula1>
    </dataValidation>
  </dataValidations>
  <pageMargins left="0.7" right="0.7" top="0.75" bottom="0.75" header="0.3" footer="0.3"/>
  <pageSetup scale="61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59"/>
  <sheetViews>
    <sheetView zoomScale="70" zoomScaleNormal="70" workbookViewId="0">
      <pane xSplit="2" ySplit="2" topLeftCell="C30" activePane="bottomRight" state="frozen"/>
      <selection pane="topRight" activeCell="C1" sqref="C1"/>
      <selection pane="bottomLeft" activeCell="A3" sqref="A3"/>
      <selection pane="bottomRight" activeCell="N57" sqref="N57"/>
    </sheetView>
  </sheetViews>
  <sheetFormatPr baseColWidth="10" defaultRowHeight="14.4" x14ac:dyDescent="0.3"/>
  <cols>
    <col min="18" max="18" width="11.44140625" style="81"/>
    <col min="19" max="19" width="13" customWidth="1"/>
    <col min="20" max="23" width="11.44140625" style="81"/>
  </cols>
  <sheetData>
    <row r="1" spans="1:24" ht="15" thickBot="1" x14ac:dyDescent="0.35">
      <c r="A1" s="224" t="s">
        <v>9</v>
      </c>
      <c r="B1" s="224"/>
      <c r="C1" s="225" t="s">
        <v>10</v>
      </c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</row>
    <row r="2" spans="1:24" ht="15" thickBot="1" x14ac:dyDescent="0.35">
      <c r="A2" s="224"/>
      <c r="B2" s="224"/>
      <c r="C2" s="82" t="s">
        <v>94</v>
      </c>
      <c r="D2" s="82" t="s">
        <v>95</v>
      </c>
      <c r="E2" s="82" t="s">
        <v>96</v>
      </c>
      <c r="F2" s="82" t="s">
        <v>97</v>
      </c>
      <c r="G2" s="82" t="s">
        <v>98</v>
      </c>
      <c r="H2" s="82" t="s">
        <v>99</v>
      </c>
      <c r="I2" s="82" t="s">
        <v>100</v>
      </c>
      <c r="J2" s="82" t="s">
        <v>101</v>
      </c>
      <c r="K2" s="82" t="s">
        <v>102</v>
      </c>
      <c r="L2" s="82" t="s">
        <v>103</v>
      </c>
      <c r="M2" s="82" t="s">
        <v>104</v>
      </c>
      <c r="N2" s="82" t="s">
        <v>105</v>
      </c>
      <c r="O2" s="82" t="s">
        <v>106</v>
      </c>
      <c r="P2" s="82" t="s">
        <v>107</v>
      </c>
      <c r="Q2" s="82" t="s">
        <v>108</v>
      </c>
      <c r="R2" s="82" t="s">
        <v>109</v>
      </c>
      <c r="S2" s="82" t="s">
        <v>117</v>
      </c>
      <c r="T2" s="82" t="s">
        <v>119</v>
      </c>
      <c r="U2" s="82" t="s">
        <v>120</v>
      </c>
      <c r="V2" s="82" t="s">
        <v>139</v>
      </c>
      <c r="W2" s="82" t="s">
        <v>146</v>
      </c>
      <c r="X2" s="82" t="s">
        <v>110</v>
      </c>
    </row>
    <row r="3" spans="1:24" ht="15" thickBot="1" x14ac:dyDescent="0.35">
      <c r="A3" s="222" t="s">
        <v>29</v>
      </c>
      <c r="B3" s="101" t="s">
        <v>111</v>
      </c>
      <c r="C3" s="92">
        <f>ALT!D9</f>
        <v>5</v>
      </c>
      <c r="D3" s="92">
        <f>ANA!D9</f>
        <v>4</v>
      </c>
      <c r="E3" s="92">
        <f>CUM!D9</f>
        <v>5</v>
      </c>
      <c r="F3" s="92">
        <f>'MAT I'!D9</f>
        <v>5</v>
      </c>
      <c r="G3" s="92">
        <f>'MAT II'!D9</f>
        <v>5</v>
      </c>
      <c r="H3" s="92">
        <f>'NVA BNA'!D9</f>
        <v>4</v>
      </c>
      <c r="I3" s="92">
        <f>CHU!D9</f>
        <v>5</v>
      </c>
      <c r="J3" s="92">
        <f>TER!D9</f>
        <v>4</v>
      </c>
      <c r="K3" s="92">
        <f>'TIG II'!D9</f>
        <v>4</v>
      </c>
      <c r="L3" s="92">
        <f>'TIG III'!D9</f>
        <v>3</v>
      </c>
      <c r="M3" s="92">
        <f>LEC!D9</f>
        <v>8</v>
      </c>
      <c r="N3" s="92">
        <f>POZ!D9</f>
        <v>4</v>
      </c>
      <c r="O3" s="92">
        <f>PTE!D9</f>
        <v>6</v>
      </c>
      <c r="P3" s="92">
        <f>PLC!D9</f>
        <v>6</v>
      </c>
      <c r="Q3" s="92">
        <f>FRE!D9</f>
        <v>2</v>
      </c>
      <c r="R3" s="92">
        <f>VEN!D9</f>
        <v>8</v>
      </c>
      <c r="S3" s="92">
        <f>RED!D9</f>
        <v>5</v>
      </c>
      <c r="T3" s="92">
        <f>BOLPLC!D9</f>
        <v>3</v>
      </c>
      <c r="U3" s="92">
        <f>CHUR!D9</f>
        <v>4</v>
      </c>
      <c r="V3" s="92">
        <f>MANS!D9</f>
        <v>4</v>
      </c>
      <c r="W3" s="92">
        <f>FARO!E9</f>
        <v>5</v>
      </c>
      <c r="X3" s="93">
        <f>SUM(C3:S3)</f>
        <v>83</v>
      </c>
    </row>
    <row r="4" spans="1:24" ht="15" thickBot="1" x14ac:dyDescent="0.35">
      <c r="A4" s="222"/>
      <c r="B4" s="101" t="s">
        <v>112</v>
      </c>
      <c r="C4" s="92">
        <f>ALT!E9</f>
        <v>5</v>
      </c>
      <c r="D4" s="92">
        <f>ANA!E9</f>
        <v>4</v>
      </c>
      <c r="E4" s="92">
        <f>CUM!E9</f>
        <v>5</v>
      </c>
      <c r="F4" s="92">
        <f>'MAT I'!E9</f>
        <v>5</v>
      </c>
      <c r="G4" s="92">
        <f>'MAT II'!E9</f>
        <v>5</v>
      </c>
      <c r="H4" s="92">
        <f>'NVA BNA'!E9</f>
        <v>4</v>
      </c>
      <c r="I4" s="92">
        <f>CHU!E9</f>
        <v>5</v>
      </c>
      <c r="J4" s="92">
        <f>TER!E9</f>
        <v>4</v>
      </c>
      <c r="K4" s="92">
        <f>'TIG II'!E9</f>
        <v>4</v>
      </c>
      <c r="L4" s="92">
        <f>'TIG III'!E9</f>
        <v>3</v>
      </c>
      <c r="M4" s="92">
        <f>LEC!E9</f>
        <v>8</v>
      </c>
      <c r="N4" s="92">
        <f>POZ!E9</f>
        <v>4</v>
      </c>
      <c r="O4" s="92">
        <f>PTE!E9</f>
        <v>6</v>
      </c>
      <c r="P4" s="92">
        <f>PLC!E9</f>
        <v>6</v>
      </c>
      <c r="Q4" s="92">
        <f>FRE!E9</f>
        <v>2</v>
      </c>
      <c r="R4" s="92">
        <f>VEN!E9</f>
        <v>8</v>
      </c>
      <c r="S4" s="92">
        <f>RED!E9</f>
        <v>5</v>
      </c>
      <c r="T4" s="92">
        <f>BOLPLC!E9</f>
        <v>3</v>
      </c>
      <c r="U4" s="92">
        <f>CHUR!E9</f>
        <v>4</v>
      </c>
      <c r="V4" s="92">
        <f>MANS!E9</f>
        <v>4</v>
      </c>
      <c r="W4" s="92">
        <f>FARO!F9</f>
        <v>5</v>
      </c>
      <c r="X4" s="93">
        <f>SUM(C4:S4)</f>
        <v>83</v>
      </c>
    </row>
    <row r="5" spans="1:24" ht="15" thickBot="1" x14ac:dyDescent="0.35">
      <c r="A5" s="222"/>
      <c r="B5" s="101" t="s">
        <v>113</v>
      </c>
      <c r="C5" s="92">
        <f>ALT!F9</f>
        <v>5</v>
      </c>
      <c r="D5" s="92">
        <f>ANA!F9</f>
        <v>4</v>
      </c>
      <c r="E5" s="92">
        <f>CUM!E9</f>
        <v>5</v>
      </c>
      <c r="F5" s="92">
        <v>5</v>
      </c>
      <c r="G5" s="92">
        <f>'MAT II'!F9</f>
        <v>5</v>
      </c>
      <c r="H5" s="92">
        <f>'NVA BNA'!F9</f>
        <v>4</v>
      </c>
      <c r="I5" s="92">
        <f>CHU!E9</f>
        <v>5</v>
      </c>
      <c r="J5" s="92">
        <f>TER!F9</f>
        <v>4</v>
      </c>
      <c r="K5" s="92">
        <f>'TIG II'!F9</f>
        <v>4</v>
      </c>
      <c r="L5" s="92">
        <f>'TIG III'!F9</f>
        <v>3</v>
      </c>
      <c r="M5" s="92">
        <f>LEC!F9</f>
        <v>8</v>
      </c>
      <c r="N5" s="92">
        <f>POZ!F9</f>
        <v>4</v>
      </c>
      <c r="O5" s="92">
        <f>PTE!F9</f>
        <v>6</v>
      </c>
      <c r="P5" s="92">
        <f>PLC!F9</f>
        <v>6</v>
      </c>
      <c r="Q5" s="92">
        <f>FRE!F9</f>
        <v>2</v>
      </c>
      <c r="R5" s="92">
        <f>VEN!F9</f>
        <v>8</v>
      </c>
      <c r="S5" s="92">
        <f>RED!F9</f>
        <v>5</v>
      </c>
      <c r="T5" s="92">
        <f>BOLPLC!F9</f>
        <v>3</v>
      </c>
      <c r="U5" s="92">
        <f>CHUR!F9</f>
        <v>4</v>
      </c>
      <c r="V5" s="92">
        <f>MANS!F9</f>
        <v>4</v>
      </c>
      <c r="W5" s="92">
        <f>FARO!F9</f>
        <v>5</v>
      </c>
      <c r="X5" s="93">
        <f>SUM(C5:S5)</f>
        <v>83</v>
      </c>
    </row>
    <row r="6" spans="1:24" ht="15" thickBot="1" x14ac:dyDescent="0.35">
      <c r="A6" s="222"/>
      <c r="B6" s="102" t="s">
        <v>114</v>
      </c>
      <c r="C6" s="94">
        <f>+C5/C4</f>
        <v>1</v>
      </c>
      <c r="D6" s="94">
        <f t="shared" ref="D6:X6" si="0">+D5/D4</f>
        <v>1</v>
      </c>
      <c r="E6" s="94">
        <f t="shared" si="0"/>
        <v>1</v>
      </c>
      <c r="F6" s="94">
        <f t="shared" si="0"/>
        <v>1</v>
      </c>
      <c r="G6" s="94">
        <f t="shared" si="0"/>
        <v>1</v>
      </c>
      <c r="H6" s="94">
        <f t="shared" si="0"/>
        <v>1</v>
      </c>
      <c r="I6" s="94">
        <f t="shared" si="0"/>
        <v>1</v>
      </c>
      <c r="J6" s="94">
        <f t="shared" si="0"/>
        <v>1</v>
      </c>
      <c r="K6" s="94">
        <f t="shared" si="0"/>
        <v>1</v>
      </c>
      <c r="L6" s="94">
        <f t="shared" si="0"/>
        <v>1</v>
      </c>
      <c r="M6" s="94">
        <f t="shared" si="0"/>
        <v>1</v>
      </c>
      <c r="N6" s="94">
        <f t="shared" si="0"/>
        <v>1</v>
      </c>
      <c r="O6" s="94">
        <f t="shared" si="0"/>
        <v>1</v>
      </c>
      <c r="P6" s="94">
        <f t="shared" si="0"/>
        <v>1</v>
      </c>
      <c r="Q6" s="94">
        <f t="shared" si="0"/>
        <v>1</v>
      </c>
      <c r="R6" s="94">
        <f t="shared" si="0"/>
        <v>1</v>
      </c>
      <c r="S6" s="94">
        <f t="shared" si="0"/>
        <v>1</v>
      </c>
      <c r="T6" s="94">
        <f t="shared" si="0"/>
        <v>1</v>
      </c>
      <c r="U6" s="94">
        <f t="shared" si="0"/>
        <v>1</v>
      </c>
      <c r="V6" s="94">
        <f t="shared" si="0"/>
        <v>1</v>
      </c>
      <c r="W6" s="94">
        <f t="shared" si="0"/>
        <v>1</v>
      </c>
      <c r="X6" s="95">
        <f t="shared" si="0"/>
        <v>1</v>
      </c>
    </row>
    <row r="7" spans="1:24" ht="15" thickBot="1" x14ac:dyDescent="0.35">
      <c r="A7" s="222" t="s">
        <v>28</v>
      </c>
      <c r="B7" s="101" t="s">
        <v>111</v>
      </c>
      <c r="C7" s="92">
        <f>ALT!D10</f>
        <v>5</v>
      </c>
      <c r="D7" s="92">
        <f>ANA!D10</f>
        <v>4</v>
      </c>
      <c r="E7" s="92">
        <f>CUM!D10</f>
        <v>5</v>
      </c>
      <c r="F7" s="92">
        <v>5</v>
      </c>
      <c r="G7" s="92">
        <f>'MAT II'!D10</f>
        <v>5</v>
      </c>
      <c r="H7" s="92">
        <f>'NVA BNA'!D10</f>
        <v>4</v>
      </c>
      <c r="I7" s="92">
        <f>CHU!D10</f>
        <v>5</v>
      </c>
      <c r="J7" s="92">
        <f>TER!D10</f>
        <v>4</v>
      </c>
      <c r="K7" s="92">
        <f>'TIG II'!D10</f>
        <v>4</v>
      </c>
      <c r="L7" s="92">
        <f>'TIG III'!D10</f>
        <v>3</v>
      </c>
      <c r="M7" s="92">
        <f>LEC!D10</f>
        <v>8</v>
      </c>
      <c r="N7" s="92">
        <f>POZ!D10</f>
        <v>4</v>
      </c>
      <c r="O7" s="92">
        <f>PTE!D10</f>
        <v>6</v>
      </c>
      <c r="P7" s="92">
        <f>PLC!D10</f>
        <v>6</v>
      </c>
      <c r="Q7" s="92">
        <f>FRE!D10</f>
        <v>2</v>
      </c>
      <c r="R7" s="92">
        <f>VEN!D10</f>
        <v>8</v>
      </c>
      <c r="S7" s="92">
        <f>RED!D10</f>
        <v>5</v>
      </c>
      <c r="T7" s="92">
        <f>BOLPLC!D10</f>
        <v>3</v>
      </c>
      <c r="U7" s="92">
        <f>CHUR!D10</f>
        <v>4</v>
      </c>
      <c r="V7" s="92">
        <f>MANS!D10</f>
        <v>4</v>
      </c>
      <c r="W7" s="92">
        <f>FARO!E10</f>
        <v>5</v>
      </c>
      <c r="X7" s="93">
        <f>SUM(C7:S7)</f>
        <v>83</v>
      </c>
    </row>
    <row r="8" spans="1:24" ht="15" thickBot="1" x14ac:dyDescent="0.35">
      <c r="A8" s="222"/>
      <c r="B8" s="101" t="s">
        <v>112</v>
      </c>
      <c r="C8" s="92">
        <f>ALT!E10</f>
        <v>5</v>
      </c>
      <c r="D8" s="92">
        <f>ANA!E10</f>
        <v>4</v>
      </c>
      <c r="E8" s="92">
        <f>CUM!E10</f>
        <v>5</v>
      </c>
      <c r="F8" s="92">
        <v>5</v>
      </c>
      <c r="G8" s="92">
        <f>'MAT II'!E10</f>
        <v>5</v>
      </c>
      <c r="H8" s="92">
        <f>'NVA BNA'!E10</f>
        <v>4</v>
      </c>
      <c r="I8" s="92">
        <f>CHU!E10</f>
        <v>5</v>
      </c>
      <c r="J8" s="92">
        <f>TER!E10</f>
        <v>4</v>
      </c>
      <c r="K8" s="92">
        <f>'TIG II'!E10</f>
        <v>4</v>
      </c>
      <c r="L8" s="92">
        <f>'TIG III'!E10</f>
        <v>3</v>
      </c>
      <c r="M8" s="92">
        <f>LEC!E10</f>
        <v>8</v>
      </c>
      <c r="N8" s="92">
        <f>POZ!E10</f>
        <v>4</v>
      </c>
      <c r="O8" s="92">
        <f>PTE!E10</f>
        <v>6</v>
      </c>
      <c r="P8" s="92">
        <f>PLC!E10</f>
        <v>6</v>
      </c>
      <c r="Q8" s="92">
        <f>FRE!E10</f>
        <v>2</v>
      </c>
      <c r="R8" s="92">
        <f>VEN!E10</f>
        <v>8</v>
      </c>
      <c r="S8" s="92">
        <f>RED!E10</f>
        <v>5</v>
      </c>
      <c r="T8" s="92">
        <f>BOLPLC!E10</f>
        <v>3</v>
      </c>
      <c r="U8" s="92">
        <f>CHUR!E10</f>
        <v>4</v>
      </c>
      <c r="V8" s="92">
        <f>MANS!E10</f>
        <v>4</v>
      </c>
      <c r="W8" s="92">
        <f>FARO!F10</f>
        <v>5</v>
      </c>
      <c r="X8" s="93">
        <f>SUM(C8:S8)</f>
        <v>83</v>
      </c>
    </row>
    <row r="9" spans="1:24" ht="15" thickBot="1" x14ac:dyDescent="0.35">
      <c r="A9" s="222"/>
      <c r="B9" s="101" t="s">
        <v>113</v>
      </c>
      <c r="C9" s="92">
        <f>ALT!F10</f>
        <v>5</v>
      </c>
      <c r="D9" s="92">
        <f>ANA!F10</f>
        <v>4</v>
      </c>
      <c r="E9" s="92">
        <f>CUM!E10</f>
        <v>5</v>
      </c>
      <c r="F9" s="92">
        <v>5</v>
      </c>
      <c r="G9" s="92">
        <f>'MAT II'!F10</f>
        <v>5</v>
      </c>
      <c r="H9" s="92">
        <f>'NVA BNA'!F10</f>
        <v>4</v>
      </c>
      <c r="I9" s="92">
        <f>CHU!E10</f>
        <v>5</v>
      </c>
      <c r="J9" s="92">
        <f>TER!F10</f>
        <v>4</v>
      </c>
      <c r="K9" s="92">
        <f>'TIG II'!F10</f>
        <v>4</v>
      </c>
      <c r="L9" s="92">
        <f>'TIG III'!F10</f>
        <v>3</v>
      </c>
      <c r="M9" s="92">
        <f>LEC!F10</f>
        <v>8</v>
      </c>
      <c r="N9" s="92">
        <f>POZ!F10</f>
        <v>4</v>
      </c>
      <c r="O9" s="92">
        <f>PTE!F10</f>
        <v>6</v>
      </c>
      <c r="P9" s="92">
        <f>PLC!F10</f>
        <v>6</v>
      </c>
      <c r="Q9" s="92">
        <f>FRE!F10</f>
        <v>2</v>
      </c>
      <c r="R9" s="92">
        <f>VEN!F10</f>
        <v>8</v>
      </c>
      <c r="S9" s="92">
        <f>RED!F10</f>
        <v>5</v>
      </c>
      <c r="T9" s="92">
        <f>BOLPLC!F10</f>
        <v>3</v>
      </c>
      <c r="U9" s="92">
        <f>CHUR!F10</f>
        <v>4</v>
      </c>
      <c r="V9" s="92">
        <f>MANS!F10</f>
        <v>4</v>
      </c>
      <c r="W9" s="92">
        <f>FARO!F10</f>
        <v>5</v>
      </c>
      <c r="X9" s="93">
        <f>SUM(C9:S9)</f>
        <v>83</v>
      </c>
    </row>
    <row r="10" spans="1:24" ht="15" thickBot="1" x14ac:dyDescent="0.35">
      <c r="A10" s="222"/>
      <c r="B10" s="102" t="s">
        <v>114</v>
      </c>
      <c r="C10" s="94">
        <f>+C9/C8</f>
        <v>1</v>
      </c>
      <c r="D10" s="94">
        <f t="shared" ref="D10:X10" si="1">+D9/D8</f>
        <v>1</v>
      </c>
      <c r="E10" s="94">
        <f t="shared" si="1"/>
        <v>1</v>
      </c>
      <c r="F10" s="94">
        <f t="shared" si="1"/>
        <v>1</v>
      </c>
      <c r="G10" s="94">
        <f t="shared" si="1"/>
        <v>1</v>
      </c>
      <c r="H10" s="94">
        <f t="shared" si="1"/>
        <v>1</v>
      </c>
      <c r="I10" s="94">
        <f t="shared" si="1"/>
        <v>1</v>
      </c>
      <c r="J10" s="94">
        <f t="shared" si="1"/>
        <v>1</v>
      </c>
      <c r="K10" s="94">
        <f t="shared" si="1"/>
        <v>1</v>
      </c>
      <c r="L10" s="94">
        <f t="shared" si="1"/>
        <v>1</v>
      </c>
      <c r="M10" s="94">
        <f t="shared" si="1"/>
        <v>1</v>
      </c>
      <c r="N10" s="94">
        <f t="shared" si="1"/>
        <v>1</v>
      </c>
      <c r="O10" s="94">
        <f t="shared" si="1"/>
        <v>1</v>
      </c>
      <c r="P10" s="94">
        <f t="shared" si="1"/>
        <v>1</v>
      </c>
      <c r="Q10" s="94">
        <f t="shared" si="1"/>
        <v>1</v>
      </c>
      <c r="R10" s="94">
        <f t="shared" si="1"/>
        <v>1</v>
      </c>
      <c r="S10" s="94">
        <f t="shared" si="1"/>
        <v>1</v>
      </c>
      <c r="T10" s="94">
        <f t="shared" si="1"/>
        <v>1</v>
      </c>
      <c r="U10" s="94">
        <f t="shared" si="1"/>
        <v>1</v>
      </c>
      <c r="V10" s="94">
        <f t="shared" si="1"/>
        <v>1</v>
      </c>
      <c r="W10" s="94">
        <f t="shared" si="1"/>
        <v>1</v>
      </c>
      <c r="X10" s="95">
        <f t="shared" si="1"/>
        <v>1</v>
      </c>
    </row>
    <row r="11" spans="1:24" ht="15" thickBot="1" x14ac:dyDescent="0.35">
      <c r="A11" s="218" t="s">
        <v>31</v>
      </c>
      <c r="B11" s="101" t="s">
        <v>111</v>
      </c>
      <c r="C11" s="92">
        <f>ALT!D11</f>
        <v>5</v>
      </c>
      <c r="D11" s="92">
        <f>ANA!D11</f>
        <v>4</v>
      </c>
      <c r="E11" s="92">
        <f>CUM!D11</f>
        <v>5</v>
      </c>
      <c r="F11" s="92">
        <v>5</v>
      </c>
      <c r="G11" s="92">
        <f>'MAT II'!D11</f>
        <v>5</v>
      </c>
      <c r="H11" s="92">
        <f>'NVA BNA'!D11</f>
        <v>4</v>
      </c>
      <c r="I11" s="92">
        <f>CHU!D11</f>
        <v>5</v>
      </c>
      <c r="J11" s="92">
        <f>TER!D11</f>
        <v>4</v>
      </c>
      <c r="K11" s="92">
        <f>'TIG II'!D11</f>
        <v>4</v>
      </c>
      <c r="L11" s="92">
        <f>'TIG III'!D11</f>
        <v>3</v>
      </c>
      <c r="M11" s="92">
        <f>LEC!D11</f>
        <v>8</v>
      </c>
      <c r="N11" s="92">
        <f>POZ!D11</f>
        <v>4</v>
      </c>
      <c r="O11" s="92">
        <f>PTE!D11</f>
        <v>6</v>
      </c>
      <c r="P11" s="92">
        <f>PLC!D11</f>
        <v>6</v>
      </c>
      <c r="Q11" s="92">
        <f>FRE!D11</f>
        <v>2</v>
      </c>
      <c r="R11" s="92">
        <f>VEN!D11</f>
        <v>8</v>
      </c>
      <c r="S11" s="92">
        <f>RED!D11</f>
        <v>5</v>
      </c>
      <c r="T11" s="92">
        <f>BOLPLC!D11</f>
        <v>3</v>
      </c>
      <c r="U11" s="92">
        <f>CHUR!D11</f>
        <v>4</v>
      </c>
      <c r="V11" s="92">
        <f>MANS!D11</f>
        <v>4</v>
      </c>
      <c r="W11" s="92">
        <f>FARO!E11</f>
        <v>5</v>
      </c>
      <c r="X11" s="93">
        <f>SUM(C11:S11)</f>
        <v>83</v>
      </c>
    </row>
    <row r="12" spans="1:24" ht="15" thickBot="1" x14ac:dyDescent="0.35">
      <c r="A12" s="218"/>
      <c r="B12" s="101" t="s">
        <v>112</v>
      </c>
      <c r="C12" s="92">
        <f>ALT!E11</f>
        <v>5</v>
      </c>
      <c r="D12" s="92">
        <f>ANA!E11</f>
        <v>4</v>
      </c>
      <c r="E12" s="92">
        <f>CUM!E11</f>
        <v>5</v>
      </c>
      <c r="F12" s="96">
        <v>5</v>
      </c>
      <c r="G12" s="92">
        <f>'MAT II'!E11</f>
        <v>5</v>
      </c>
      <c r="H12" s="92">
        <f>'NVA BNA'!E11</f>
        <v>4</v>
      </c>
      <c r="I12" s="92">
        <f>CHU!E11</f>
        <v>5</v>
      </c>
      <c r="J12" s="92">
        <f>TER!E11</f>
        <v>4</v>
      </c>
      <c r="K12" s="92">
        <f>'TIG II'!E11</f>
        <v>4</v>
      </c>
      <c r="L12" s="92">
        <f>'TIG III'!E11</f>
        <v>3</v>
      </c>
      <c r="M12" s="92">
        <f>LEC!E11</f>
        <v>8</v>
      </c>
      <c r="N12" s="92">
        <f>POZ!E11</f>
        <v>4</v>
      </c>
      <c r="O12" s="92">
        <f>PTE!E11</f>
        <v>6</v>
      </c>
      <c r="P12" s="92">
        <f>PLC!E11</f>
        <v>6</v>
      </c>
      <c r="Q12" s="92">
        <f>FRE!E11</f>
        <v>2</v>
      </c>
      <c r="R12" s="92">
        <f>VEN!E11</f>
        <v>8</v>
      </c>
      <c r="S12" s="92">
        <f>RED!E11</f>
        <v>5</v>
      </c>
      <c r="T12" s="92">
        <f>BOLPLC!E11</f>
        <v>3</v>
      </c>
      <c r="U12" s="92">
        <f>CHUR!E11</f>
        <v>4</v>
      </c>
      <c r="V12" s="92">
        <f>MANS!E11</f>
        <v>4</v>
      </c>
      <c r="W12" s="92">
        <f>FARO!F11</f>
        <v>5</v>
      </c>
      <c r="X12" s="93">
        <f>SUM(C12:S12)</f>
        <v>83</v>
      </c>
    </row>
    <row r="13" spans="1:24" ht="15" thickBot="1" x14ac:dyDescent="0.35">
      <c r="A13" s="218"/>
      <c r="B13" s="101" t="s">
        <v>113</v>
      </c>
      <c r="C13" s="92">
        <f>ALT!F11</f>
        <v>5</v>
      </c>
      <c r="D13" s="92">
        <f>ANA!F11</f>
        <v>4</v>
      </c>
      <c r="E13" s="92">
        <f>CUM!E11</f>
        <v>5</v>
      </c>
      <c r="F13" s="92">
        <v>5</v>
      </c>
      <c r="G13" s="92">
        <f>'MAT II'!F11</f>
        <v>5</v>
      </c>
      <c r="H13" s="92">
        <f>'NVA BNA'!F11</f>
        <v>4</v>
      </c>
      <c r="I13" s="92">
        <f>CHU!E11</f>
        <v>5</v>
      </c>
      <c r="J13" s="92">
        <f>TER!F11</f>
        <v>4</v>
      </c>
      <c r="K13" s="92">
        <f>'TIG II'!F11</f>
        <v>4</v>
      </c>
      <c r="L13" s="92">
        <f>'TIG III'!F11</f>
        <v>3</v>
      </c>
      <c r="M13" s="92">
        <f>LEC!F11</f>
        <v>8</v>
      </c>
      <c r="N13" s="92">
        <f>POZ!F11</f>
        <v>4</v>
      </c>
      <c r="O13" s="92">
        <f>PTE!F11</f>
        <v>6</v>
      </c>
      <c r="P13" s="92">
        <f>PLC!F11</f>
        <v>6</v>
      </c>
      <c r="Q13" s="92">
        <f>FRE!F11</f>
        <v>2</v>
      </c>
      <c r="R13" s="92">
        <f>VEN!F11</f>
        <v>8</v>
      </c>
      <c r="S13" s="92">
        <f>RED!F11</f>
        <v>5</v>
      </c>
      <c r="T13" s="92">
        <f>BOLPLC!F11</f>
        <v>3</v>
      </c>
      <c r="U13" s="92">
        <f>CHUR!F11</f>
        <v>4</v>
      </c>
      <c r="V13" s="92">
        <f>MANS!F11</f>
        <v>4</v>
      </c>
      <c r="W13" s="92">
        <f>FARO!F11</f>
        <v>5</v>
      </c>
      <c r="X13" s="93">
        <f>SUM(C13:S13)</f>
        <v>83</v>
      </c>
    </row>
    <row r="14" spans="1:24" ht="15" thickBot="1" x14ac:dyDescent="0.35">
      <c r="A14" s="218"/>
      <c r="B14" s="102" t="s">
        <v>114</v>
      </c>
      <c r="C14" s="94">
        <f>+C13/C12</f>
        <v>1</v>
      </c>
      <c r="D14" s="94">
        <f t="shared" ref="D14:X14" si="2">+D13/D12</f>
        <v>1</v>
      </c>
      <c r="E14" s="94">
        <f t="shared" si="2"/>
        <v>1</v>
      </c>
      <c r="F14" s="94">
        <f t="shared" si="2"/>
        <v>1</v>
      </c>
      <c r="G14" s="94">
        <f t="shared" si="2"/>
        <v>1</v>
      </c>
      <c r="H14" s="94">
        <f t="shared" si="2"/>
        <v>1</v>
      </c>
      <c r="I14" s="94">
        <f t="shared" si="2"/>
        <v>1</v>
      </c>
      <c r="J14" s="94">
        <f t="shared" si="2"/>
        <v>1</v>
      </c>
      <c r="K14" s="94">
        <f t="shared" si="2"/>
        <v>1</v>
      </c>
      <c r="L14" s="94">
        <f t="shared" si="2"/>
        <v>1</v>
      </c>
      <c r="M14" s="94">
        <f t="shared" si="2"/>
        <v>1</v>
      </c>
      <c r="N14" s="94">
        <f t="shared" si="2"/>
        <v>1</v>
      </c>
      <c r="O14" s="94">
        <f t="shared" si="2"/>
        <v>1</v>
      </c>
      <c r="P14" s="94">
        <f>+P13/P12</f>
        <v>1</v>
      </c>
      <c r="Q14" s="94">
        <f t="shared" si="2"/>
        <v>1</v>
      </c>
      <c r="R14" s="94">
        <f t="shared" si="2"/>
        <v>1</v>
      </c>
      <c r="S14" s="94">
        <f t="shared" si="2"/>
        <v>1</v>
      </c>
      <c r="T14" s="94">
        <f t="shared" si="2"/>
        <v>1</v>
      </c>
      <c r="U14" s="94">
        <f t="shared" si="2"/>
        <v>1</v>
      </c>
      <c r="V14" s="94">
        <f t="shared" si="2"/>
        <v>1</v>
      </c>
      <c r="W14" s="94">
        <f t="shared" si="2"/>
        <v>1</v>
      </c>
      <c r="X14" s="95">
        <f t="shared" si="2"/>
        <v>1</v>
      </c>
    </row>
    <row r="15" spans="1:24" ht="15" thickBot="1" x14ac:dyDescent="0.35">
      <c r="A15" s="222" t="s">
        <v>30</v>
      </c>
      <c r="B15" s="101" t="s">
        <v>111</v>
      </c>
      <c r="C15" s="92">
        <f>ALT!D12</f>
        <v>5</v>
      </c>
      <c r="D15" s="92">
        <f>ANA!D12</f>
        <v>4</v>
      </c>
      <c r="E15" s="92">
        <f>CUM!D12</f>
        <v>5</v>
      </c>
      <c r="F15" s="92">
        <v>5</v>
      </c>
      <c r="G15" s="92">
        <f>'MAT II'!D12</f>
        <v>5</v>
      </c>
      <c r="H15" s="92">
        <f>'NVA BNA'!D12</f>
        <v>4</v>
      </c>
      <c r="I15" s="92">
        <f>CHU!D12</f>
        <v>5</v>
      </c>
      <c r="J15" s="92">
        <f>TER!D12</f>
        <v>4</v>
      </c>
      <c r="K15" s="92">
        <f>'TIG II'!D12</f>
        <v>4</v>
      </c>
      <c r="L15" s="92">
        <f>'TIG III'!D12</f>
        <v>3</v>
      </c>
      <c r="M15" s="92">
        <f>LEC!D12</f>
        <v>8</v>
      </c>
      <c r="N15" s="92">
        <f>POZ!D12</f>
        <v>4</v>
      </c>
      <c r="O15" s="92">
        <f>PTE!D12</f>
        <v>6</v>
      </c>
      <c r="P15" s="92">
        <f>PLC!D12</f>
        <v>6</v>
      </c>
      <c r="Q15" s="92">
        <f>FRE!D12</f>
        <v>2</v>
      </c>
      <c r="R15" s="92">
        <f>VEN!D12</f>
        <v>8</v>
      </c>
      <c r="S15" s="92">
        <f>RED!D12</f>
        <v>5</v>
      </c>
      <c r="T15" s="92">
        <f>BOLPLC!D12</f>
        <v>3</v>
      </c>
      <c r="U15" s="92">
        <f>CHUR!D12</f>
        <v>4</v>
      </c>
      <c r="V15" s="92">
        <f>MANS!D12</f>
        <v>4</v>
      </c>
      <c r="W15" s="92">
        <f>FARO!E12</f>
        <v>5</v>
      </c>
      <c r="X15" s="93">
        <f>SUM(C15:S15)</f>
        <v>83</v>
      </c>
    </row>
    <row r="16" spans="1:24" ht="15" thickBot="1" x14ac:dyDescent="0.35">
      <c r="A16" s="222"/>
      <c r="B16" s="101" t="s">
        <v>112</v>
      </c>
      <c r="C16" s="92">
        <f>ALT!E12</f>
        <v>5</v>
      </c>
      <c r="D16" s="92">
        <f>ANA!E12</f>
        <v>4</v>
      </c>
      <c r="E16" s="92">
        <f>CUM!E12</f>
        <v>5</v>
      </c>
      <c r="F16" s="96">
        <v>5</v>
      </c>
      <c r="G16" s="92">
        <f>'MAT II'!E12</f>
        <v>5</v>
      </c>
      <c r="H16" s="92">
        <f>'NVA BNA'!E12</f>
        <v>4</v>
      </c>
      <c r="I16" s="92">
        <f>CHU!E12</f>
        <v>5</v>
      </c>
      <c r="J16" s="92">
        <f>TER!E12</f>
        <v>4</v>
      </c>
      <c r="K16" s="92">
        <f>'TIG II'!E12</f>
        <v>4</v>
      </c>
      <c r="L16" s="92">
        <f>'TIG III'!E12</f>
        <v>3</v>
      </c>
      <c r="M16" s="92">
        <f>LEC!E12</f>
        <v>8</v>
      </c>
      <c r="N16" s="92">
        <f>POZ!E12</f>
        <v>4</v>
      </c>
      <c r="O16" s="92">
        <f>PTE!E12</f>
        <v>6</v>
      </c>
      <c r="P16" s="92">
        <f>PLC!E12</f>
        <v>6</v>
      </c>
      <c r="Q16" s="92">
        <f>FRE!E12</f>
        <v>2</v>
      </c>
      <c r="R16" s="92">
        <f>VEN!E12</f>
        <v>8</v>
      </c>
      <c r="S16" s="92">
        <f>RED!E12</f>
        <v>5</v>
      </c>
      <c r="T16" s="92">
        <f>BOLPLC!E12</f>
        <v>3</v>
      </c>
      <c r="U16" s="92">
        <f>CHUR!E12</f>
        <v>4</v>
      </c>
      <c r="V16" s="92">
        <f>MANS!E12</f>
        <v>4</v>
      </c>
      <c r="W16" s="92">
        <f>FARO!F12</f>
        <v>5</v>
      </c>
      <c r="X16" s="93">
        <f>SUM(C16:S16)</f>
        <v>83</v>
      </c>
    </row>
    <row r="17" spans="1:24" ht="15" thickBot="1" x14ac:dyDescent="0.35">
      <c r="A17" s="222"/>
      <c r="B17" s="101" t="s">
        <v>113</v>
      </c>
      <c r="C17" s="92">
        <f>ALT!F12</f>
        <v>5</v>
      </c>
      <c r="D17" s="92">
        <f>ANA!F12</f>
        <v>4</v>
      </c>
      <c r="E17" s="92">
        <f>CUM!E12</f>
        <v>5</v>
      </c>
      <c r="F17" s="92">
        <v>5</v>
      </c>
      <c r="G17" s="92">
        <f>'MAT II'!F12</f>
        <v>5</v>
      </c>
      <c r="H17" s="92">
        <f>'NVA BNA'!F12</f>
        <v>4</v>
      </c>
      <c r="I17" s="92">
        <f>CHU!E12</f>
        <v>5</v>
      </c>
      <c r="J17" s="92">
        <f>TER!F12</f>
        <v>4</v>
      </c>
      <c r="K17" s="92">
        <f>'TIG II'!F12</f>
        <v>4</v>
      </c>
      <c r="L17" s="92">
        <f>'TIG III'!F12</f>
        <v>3</v>
      </c>
      <c r="M17" s="92">
        <f>LEC!F12</f>
        <v>8</v>
      </c>
      <c r="N17" s="92">
        <f>POZ!F12</f>
        <v>4</v>
      </c>
      <c r="O17" s="92">
        <f>PTE!F12</f>
        <v>6</v>
      </c>
      <c r="P17" s="92">
        <f>PLC!F12</f>
        <v>6</v>
      </c>
      <c r="Q17" s="92">
        <f>FRE!F12</f>
        <v>2</v>
      </c>
      <c r="R17" s="92">
        <f>VEN!F12</f>
        <v>8</v>
      </c>
      <c r="S17" s="92">
        <f>RED!F12</f>
        <v>5</v>
      </c>
      <c r="T17" s="92">
        <f>BOLPLC!F12</f>
        <v>3</v>
      </c>
      <c r="U17" s="92">
        <f>CHUR!F12</f>
        <v>4</v>
      </c>
      <c r="V17" s="92">
        <f>MANS!F12</f>
        <v>4</v>
      </c>
      <c r="W17" s="92">
        <f>FARO!F12</f>
        <v>5</v>
      </c>
      <c r="X17" s="93">
        <f>SUM(C17:S17)</f>
        <v>83</v>
      </c>
    </row>
    <row r="18" spans="1:24" ht="15" thickBot="1" x14ac:dyDescent="0.35">
      <c r="A18" s="222"/>
      <c r="B18" s="102" t="s">
        <v>114</v>
      </c>
      <c r="C18" s="94">
        <f>+C17/C16</f>
        <v>1</v>
      </c>
      <c r="D18" s="94">
        <f t="shared" ref="D18:X18" si="3">+D17/D16</f>
        <v>1</v>
      </c>
      <c r="E18" s="94">
        <f t="shared" si="3"/>
        <v>1</v>
      </c>
      <c r="F18" s="94">
        <f t="shared" si="3"/>
        <v>1</v>
      </c>
      <c r="G18" s="94">
        <f t="shared" si="3"/>
        <v>1</v>
      </c>
      <c r="H18" s="94">
        <f t="shared" si="3"/>
        <v>1</v>
      </c>
      <c r="I18" s="94">
        <f t="shared" si="3"/>
        <v>1</v>
      </c>
      <c r="J18" s="94">
        <f t="shared" si="3"/>
        <v>1</v>
      </c>
      <c r="K18" s="94">
        <f t="shared" si="3"/>
        <v>1</v>
      </c>
      <c r="L18" s="94">
        <f t="shared" si="3"/>
        <v>1</v>
      </c>
      <c r="M18" s="94">
        <f t="shared" si="3"/>
        <v>1</v>
      </c>
      <c r="N18" s="94">
        <f t="shared" si="3"/>
        <v>1</v>
      </c>
      <c r="O18" s="94">
        <f t="shared" si="3"/>
        <v>1</v>
      </c>
      <c r="P18" s="94">
        <f t="shared" si="3"/>
        <v>1</v>
      </c>
      <c r="Q18" s="94">
        <f t="shared" si="3"/>
        <v>1</v>
      </c>
      <c r="R18" s="94">
        <f t="shared" si="3"/>
        <v>1</v>
      </c>
      <c r="S18" s="94">
        <f t="shared" si="3"/>
        <v>1</v>
      </c>
      <c r="T18" s="94">
        <f t="shared" si="3"/>
        <v>1</v>
      </c>
      <c r="U18" s="94">
        <f t="shared" si="3"/>
        <v>1</v>
      </c>
      <c r="V18" s="94">
        <f t="shared" si="3"/>
        <v>1</v>
      </c>
      <c r="W18" s="94">
        <f t="shared" si="3"/>
        <v>1</v>
      </c>
      <c r="X18" s="95">
        <f t="shared" si="3"/>
        <v>1</v>
      </c>
    </row>
    <row r="19" spans="1:24" ht="15" thickBot="1" x14ac:dyDescent="0.35">
      <c r="A19" s="222" t="s">
        <v>22</v>
      </c>
      <c r="B19" s="101" t="s">
        <v>111</v>
      </c>
      <c r="C19" s="92">
        <f>ALT!D13</f>
        <v>5</v>
      </c>
      <c r="D19" s="92">
        <f>ANA!D13</f>
        <v>4</v>
      </c>
      <c r="E19" s="92">
        <f>CUM!D13</f>
        <v>5</v>
      </c>
      <c r="F19" s="92">
        <v>5</v>
      </c>
      <c r="G19" s="92">
        <f>'MAT II'!D13</f>
        <v>5</v>
      </c>
      <c r="H19" s="92">
        <f>'NVA BNA'!D13</f>
        <v>4</v>
      </c>
      <c r="I19" s="92">
        <f>CHU!D13</f>
        <v>5</v>
      </c>
      <c r="J19" s="92">
        <f>TER!D13</f>
        <v>4</v>
      </c>
      <c r="K19" s="92">
        <f>'TIG II'!D13</f>
        <v>4</v>
      </c>
      <c r="L19" s="92">
        <f>'TIG III'!D13</f>
        <v>3</v>
      </c>
      <c r="M19" s="92">
        <f>LEC!D13</f>
        <v>8</v>
      </c>
      <c r="N19" s="92">
        <f>POZ!D13</f>
        <v>4</v>
      </c>
      <c r="O19" s="92">
        <f>PTE!D13</f>
        <v>6</v>
      </c>
      <c r="P19" s="92">
        <f>PLC!D13</f>
        <v>6</v>
      </c>
      <c r="Q19" s="92">
        <f>FRE!D13</f>
        <v>2</v>
      </c>
      <c r="R19" s="92">
        <f>VEN!D13</f>
        <v>8</v>
      </c>
      <c r="S19" s="92">
        <f>RED!D13</f>
        <v>5</v>
      </c>
      <c r="T19" s="92">
        <f>BOLPLC!D13</f>
        <v>3</v>
      </c>
      <c r="U19" s="92">
        <f>CHUR!D13</f>
        <v>4</v>
      </c>
      <c r="V19" s="92">
        <f>MANS!D13</f>
        <v>4</v>
      </c>
      <c r="W19" s="92">
        <f>FARO!E13</f>
        <v>5</v>
      </c>
      <c r="X19" s="93">
        <v>92</v>
      </c>
    </row>
    <row r="20" spans="1:24" ht="15" thickBot="1" x14ac:dyDescent="0.35">
      <c r="A20" s="222"/>
      <c r="B20" s="101" t="s">
        <v>112</v>
      </c>
      <c r="C20" s="92">
        <f>ALT!E13</f>
        <v>5</v>
      </c>
      <c r="D20" s="92">
        <f>ANA!E13</f>
        <v>4</v>
      </c>
      <c r="E20" s="92">
        <f>CUM!E13</f>
        <v>5</v>
      </c>
      <c r="F20" s="92">
        <v>5</v>
      </c>
      <c r="G20" s="92">
        <f>'MAT II'!E13</f>
        <v>5</v>
      </c>
      <c r="H20" s="92">
        <f>'NVA BNA'!E13</f>
        <v>4</v>
      </c>
      <c r="I20" s="92">
        <f>CHU!E13</f>
        <v>5</v>
      </c>
      <c r="J20" s="92">
        <f>TER!E13</f>
        <v>4</v>
      </c>
      <c r="K20" s="92">
        <f>'TIG II'!E13</f>
        <v>4</v>
      </c>
      <c r="L20" s="92">
        <f>'TIG III'!E13</f>
        <v>3</v>
      </c>
      <c r="M20" s="92">
        <f>LEC!E13</f>
        <v>8</v>
      </c>
      <c r="N20" s="92">
        <f>POZ!E13</f>
        <v>4</v>
      </c>
      <c r="O20" s="92">
        <f>PTE!E13</f>
        <v>6</v>
      </c>
      <c r="P20" s="92">
        <f>PLC!E13</f>
        <v>6</v>
      </c>
      <c r="Q20" s="92">
        <f>FRE!E13</f>
        <v>2</v>
      </c>
      <c r="R20" s="92">
        <f>VEN!E13</f>
        <v>8</v>
      </c>
      <c r="S20" s="92">
        <f>RED!E13</f>
        <v>5</v>
      </c>
      <c r="T20" s="92">
        <f>BOLPLC!E13</f>
        <v>3</v>
      </c>
      <c r="U20" s="92">
        <f>CHUR!E13</f>
        <v>4</v>
      </c>
      <c r="V20" s="92">
        <f>MANS!E13</f>
        <v>4</v>
      </c>
      <c r="W20" s="92">
        <f>FARO!F13</f>
        <v>5</v>
      </c>
      <c r="X20" s="93">
        <v>90</v>
      </c>
    </row>
    <row r="21" spans="1:24" ht="15" thickBot="1" x14ac:dyDescent="0.35">
      <c r="A21" s="222"/>
      <c r="B21" s="101" t="s">
        <v>113</v>
      </c>
      <c r="C21" s="92">
        <f>ALT!F13</f>
        <v>5</v>
      </c>
      <c r="D21" s="92">
        <f>ANA!F13</f>
        <v>4</v>
      </c>
      <c r="E21" s="92">
        <f>CUM!E13</f>
        <v>5</v>
      </c>
      <c r="F21" s="92">
        <v>5</v>
      </c>
      <c r="G21" s="92">
        <f>'MAT II'!F13</f>
        <v>5</v>
      </c>
      <c r="H21" s="92">
        <f>'NVA BNA'!F13</f>
        <v>4</v>
      </c>
      <c r="I21" s="92">
        <f>CHU!E13</f>
        <v>5</v>
      </c>
      <c r="J21" s="92">
        <f>TER!F13</f>
        <v>4</v>
      </c>
      <c r="K21" s="92">
        <f>'TIG II'!F13</f>
        <v>4</v>
      </c>
      <c r="L21" s="92">
        <f>'TIG III'!F13</f>
        <v>3</v>
      </c>
      <c r="M21" s="92">
        <f>LEC!F13</f>
        <v>8</v>
      </c>
      <c r="N21" s="92">
        <f>POZ!F13</f>
        <v>4</v>
      </c>
      <c r="O21" s="92">
        <f>PTE!F13</f>
        <v>6</v>
      </c>
      <c r="P21" s="92">
        <f>PLC!F13</f>
        <v>6</v>
      </c>
      <c r="Q21" s="92">
        <f>FRE!F13</f>
        <v>2</v>
      </c>
      <c r="R21" s="92">
        <f>VEN!F13</f>
        <v>8</v>
      </c>
      <c r="S21" s="92">
        <f>RED!F13</f>
        <v>5</v>
      </c>
      <c r="T21" s="92">
        <f>BOLPLC!F13</f>
        <v>3</v>
      </c>
      <c r="U21" s="92">
        <f>CHUR!F13</f>
        <v>4</v>
      </c>
      <c r="V21" s="92">
        <f>MANS!F13</f>
        <v>4</v>
      </c>
      <c r="W21" s="92">
        <f>FARO!F13</f>
        <v>5</v>
      </c>
      <c r="X21" s="93">
        <v>81</v>
      </c>
    </row>
    <row r="22" spans="1:24" ht="15" thickBot="1" x14ac:dyDescent="0.35">
      <c r="A22" s="222"/>
      <c r="B22" s="102" t="s">
        <v>114</v>
      </c>
      <c r="C22" s="94">
        <f>+C21/C20</f>
        <v>1</v>
      </c>
      <c r="D22" s="94">
        <f t="shared" ref="D22:X22" si="4">+D21/D20</f>
        <v>1</v>
      </c>
      <c r="E22" s="94">
        <f t="shared" si="4"/>
        <v>1</v>
      </c>
      <c r="F22" s="94">
        <f t="shared" si="4"/>
        <v>1</v>
      </c>
      <c r="G22" s="94">
        <f t="shared" si="4"/>
        <v>1</v>
      </c>
      <c r="H22" s="94">
        <f t="shared" si="4"/>
        <v>1</v>
      </c>
      <c r="I22" s="94">
        <f t="shared" si="4"/>
        <v>1</v>
      </c>
      <c r="J22" s="94">
        <f t="shared" si="4"/>
        <v>1</v>
      </c>
      <c r="K22" s="94">
        <f t="shared" si="4"/>
        <v>1</v>
      </c>
      <c r="L22" s="94">
        <f t="shared" si="4"/>
        <v>1</v>
      </c>
      <c r="M22" s="94">
        <f t="shared" si="4"/>
        <v>1</v>
      </c>
      <c r="N22" s="94">
        <f t="shared" si="4"/>
        <v>1</v>
      </c>
      <c r="O22" s="94">
        <f t="shared" si="4"/>
        <v>1</v>
      </c>
      <c r="P22" s="94">
        <f t="shared" si="4"/>
        <v>1</v>
      </c>
      <c r="Q22" s="94">
        <f t="shared" si="4"/>
        <v>1</v>
      </c>
      <c r="R22" s="94">
        <f t="shared" si="4"/>
        <v>1</v>
      </c>
      <c r="S22" s="94">
        <f t="shared" si="4"/>
        <v>1</v>
      </c>
      <c r="T22" s="94">
        <f t="shared" si="4"/>
        <v>1</v>
      </c>
      <c r="U22" s="94">
        <f t="shared" si="4"/>
        <v>1</v>
      </c>
      <c r="V22" s="94">
        <f t="shared" si="4"/>
        <v>1</v>
      </c>
      <c r="W22" s="94">
        <f t="shared" si="4"/>
        <v>1</v>
      </c>
      <c r="X22" s="95">
        <f t="shared" si="4"/>
        <v>0.9</v>
      </c>
    </row>
    <row r="23" spans="1:24" ht="15" thickBot="1" x14ac:dyDescent="0.35">
      <c r="A23" s="223" t="s">
        <v>55</v>
      </c>
      <c r="B23" s="101" t="s">
        <v>111</v>
      </c>
      <c r="C23" s="92">
        <f>ALT!D14</f>
        <v>1</v>
      </c>
      <c r="D23" s="92">
        <f>ANA!D14</f>
        <v>1</v>
      </c>
      <c r="E23" s="92">
        <f>CUM!D14</f>
        <v>1</v>
      </c>
      <c r="F23" s="92">
        <v>1</v>
      </c>
      <c r="G23" s="92">
        <f>'MAT II'!D14</f>
        <v>1</v>
      </c>
      <c r="H23" s="92">
        <f>'NVA BNA'!D14</f>
        <v>1</v>
      </c>
      <c r="I23" s="92">
        <f>CHU!D214</f>
        <v>0</v>
      </c>
      <c r="J23" s="92">
        <f>TER!D14</f>
        <v>1</v>
      </c>
      <c r="K23" s="92">
        <f>'TIG II'!D14</f>
        <v>1</v>
      </c>
      <c r="L23" s="92">
        <f>'TIG III'!D14</f>
        <v>1</v>
      </c>
      <c r="M23" s="92">
        <f>LEC!D14</f>
        <v>1</v>
      </c>
      <c r="N23" s="92">
        <f>POZ!D14</f>
        <v>1</v>
      </c>
      <c r="O23" s="92">
        <f>PTE!D14</f>
        <v>1</v>
      </c>
      <c r="P23" s="92">
        <f>PLC!D14</f>
        <v>1</v>
      </c>
      <c r="Q23" s="92">
        <f>FRE!D14</f>
        <v>1</v>
      </c>
      <c r="R23" s="92">
        <f>VEN!D14</f>
        <v>1</v>
      </c>
      <c r="S23" s="92">
        <f>RED!D14</f>
        <v>1</v>
      </c>
      <c r="T23" s="92">
        <f>BOLPLC!D14</f>
        <v>1</v>
      </c>
      <c r="U23" s="92">
        <f>CHUR!D14</f>
        <v>1</v>
      </c>
      <c r="V23" s="92">
        <f>MANS!D14</f>
        <v>1</v>
      </c>
      <c r="W23" s="92">
        <f>FARO!E14</f>
        <v>1</v>
      </c>
      <c r="X23" s="93">
        <f>SUM(C23:S23)</f>
        <v>16</v>
      </c>
    </row>
    <row r="24" spans="1:24" ht="15" thickBot="1" x14ac:dyDescent="0.35">
      <c r="A24" s="223"/>
      <c r="B24" s="101" t="s">
        <v>112</v>
      </c>
      <c r="C24" s="92">
        <f>ALT!E14</f>
        <v>1</v>
      </c>
      <c r="D24" s="92">
        <f>ANA!E14</f>
        <v>1</v>
      </c>
      <c r="E24" s="92">
        <f>CUM!E14</f>
        <v>1</v>
      </c>
      <c r="F24" s="92">
        <v>1</v>
      </c>
      <c r="G24" s="92">
        <f>'MAT II'!E14</f>
        <v>1</v>
      </c>
      <c r="H24" s="92">
        <f>'NVA BNA'!E14</f>
        <v>1</v>
      </c>
      <c r="I24" s="92">
        <f>CHU!E14</f>
        <v>1</v>
      </c>
      <c r="J24" s="92">
        <f>TER!E14</f>
        <v>1</v>
      </c>
      <c r="K24" s="92">
        <f>'TIG II'!E14</f>
        <v>1</v>
      </c>
      <c r="L24" s="92">
        <f>'TIG III'!E14</f>
        <v>1</v>
      </c>
      <c r="M24" s="92">
        <f>LEC!E14</f>
        <v>1</v>
      </c>
      <c r="N24" s="92">
        <f>POZ!E14</f>
        <v>1</v>
      </c>
      <c r="O24" s="92">
        <f>PTE!E14</f>
        <v>1</v>
      </c>
      <c r="P24" s="92">
        <f>PLC!E14</f>
        <v>1</v>
      </c>
      <c r="Q24" s="92">
        <f>FRE!E14</f>
        <v>1</v>
      </c>
      <c r="R24" s="92">
        <f>VEN!E14</f>
        <v>1</v>
      </c>
      <c r="S24" s="92">
        <f>RED!E14</f>
        <v>1</v>
      </c>
      <c r="T24" s="92">
        <f>BOLPLC!E14</f>
        <v>1</v>
      </c>
      <c r="U24" s="92">
        <f>CHUR!E14</f>
        <v>1</v>
      </c>
      <c r="V24" s="92">
        <f>MANS!E14</f>
        <v>1</v>
      </c>
      <c r="W24" s="92">
        <f>FARO!F14</f>
        <v>1</v>
      </c>
      <c r="X24" s="93">
        <f>SUM(C24:S24)</f>
        <v>17</v>
      </c>
    </row>
    <row r="25" spans="1:24" ht="15" thickBot="1" x14ac:dyDescent="0.35">
      <c r="A25" s="223"/>
      <c r="B25" s="101" t="s">
        <v>113</v>
      </c>
      <c r="C25" s="92">
        <f>ALT!F14</f>
        <v>1</v>
      </c>
      <c r="D25" s="92">
        <f>ANA!F14</f>
        <v>1</v>
      </c>
      <c r="E25" s="92">
        <f>CUM!E14</f>
        <v>1</v>
      </c>
      <c r="F25" s="92">
        <v>1</v>
      </c>
      <c r="G25" s="92">
        <f>'MAT II'!F14</f>
        <v>1</v>
      </c>
      <c r="H25" s="92">
        <f>'NVA BNA'!F14</f>
        <v>1</v>
      </c>
      <c r="I25" s="92">
        <f>CHU!E14</f>
        <v>1</v>
      </c>
      <c r="J25" s="92">
        <f>TER!F14</f>
        <v>1</v>
      </c>
      <c r="K25" s="92">
        <f>'TIG II'!F14</f>
        <v>1</v>
      </c>
      <c r="L25" s="92">
        <f>'TIG III'!F14</f>
        <v>1</v>
      </c>
      <c r="M25" s="92">
        <f>LEC!F14</f>
        <v>1</v>
      </c>
      <c r="N25" s="92">
        <f>POZ!F14</f>
        <v>1</v>
      </c>
      <c r="O25" s="92">
        <f>PTE!F14</f>
        <v>1</v>
      </c>
      <c r="P25" s="92">
        <f>PLC!F14</f>
        <v>1</v>
      </c>
      <c r="Q25" s="92">
        <f>FRE!F14</f>
        <v>1</v>
      </c>
      <c r="R25" s="92">
        <f>VEN!F14</f>
        <v>1</v>
      </c>
      <c r="S25" s="92">
        <f>RED!F14</f>
        <v>1</v>
      </c>
      <c r="T25" s="92">
        <f>BOLPLC!F14</f>
        <v>1</v>
      </c>
      <c r="U25" s="92">
        <f>CHUR!F14</f>
        <v>1</v>
      </c>
      <c r="V25" s="92">
        <f>MANS!F14</f>
        <v>1</v>
      </c>
      <c r="W25" s="92">
        <f>FARO!F14</f>
        <v>1</v>
      </c>
      <c r="X25" s="93">
        <f>SUM(C25:S25)</f>
        <v>17</v>
      </c>
    </row>
    <row r="26" spans="1:24" ht="15" thickBot="1" x14ac:dyDescent="0.35">
      <c r="A26" s="223"/>
      <c r="B26" s="102" t="s">
        <v>114</v>
      </c>
      <c r="C26" s="94">
        <f>+C25/C24</f>
        <v>1</v>
      </c>
      <c r="D26" s="94">
        <f t="shared" ref="D26:X26" si="5">+D25/D24</f>
        <v>1</v>
      </c>
      <c r="E26" s="94">
        <f>+E25/E24</f>
        <v>1</v>
      </c>
      <c r="F26" s="94">
        <f t="shared" si="5"/>
        <v>1</v>
      </c>
      <c r="G26" s="94">
        <f t="shared" si="5"/>
        <v>1</v>
      </c>
      <c r="H26" s="94">
        <f t="shared" si="5"/>
        <v>1</v>
      </c>
      <c r="I26" s="94">
        <f t="shared" si="5"/>
        <v>1</v>
      </c>
      <c r="J26" s="94">
        <f t="shared" si="5"/>
        <v>1</v>
      </c>
      <c r="K26" s="94">
        <f t="shared" si="5"/>
        <v>1</v>
      </c>
      <c r="L26" s="94">
        <f t="shared" si="5"/>
        <v>1</v>
      </c>
      <c r="M26" s="94">
        <f t="shared" si="5"/>
        <v>1</v>
      </c>
      <c r="N26" s="94">
        <f t="shared" si="5"/>
        <v>1</v>
      </c>
      <c r="O26" s="94">
        <f t="shared" si="5"/>
        <v>1</v>
      </c>
      <c r="P26" s="94">
        <f t="shared" si="5"/>
        <v>1</v>
      </c>
      <c r="Q26" s="94">
        <f t="shared" si="5"/>
        <v>1</v>
      </c>
      <c r="R26" s="94">
        <f t="shared" si="5"/>
        <v>1</v>
      </c>
      <c r="S26" s="94">
        <f t="shared" si="5"/>
        <v>1</v>
      </c>
      <c r="T26" s="94">
        <f t="shared" si="5"/>
        <v>1</v>
      </c>
      <c r="U26" s="94">
        <f t="shared" si="5"/>
        <v>1</v>
      </c>
      <c r="V26" s="94">
        <f t="shared" si="5"/>
        <v>1</v>
      </c>
      <c r="W26" s="94">
        <f t="shared" si="5"/>
        <v>1</v>
      </c>
      <c r="X26" s="95">
        <f t="shared" si="5"/>
        <v>1</v>
      </c>
    </row>
    <row r="27" spans="1:24" ht="15" thickBot="1" x14ac:dyDescent="0.35">
      <c r="A27" s="223" t="s">
        <v>24</v>
      </c>
      <c r="B27" s="101" t="s">
        <v>111</v>
      </c>
      <c r="C27" s="92">
        <f>ALT!D15</f>
        <v>3</v>
      </c>
      <c r="D27" s="92">
        <f>ANA!D15</f>
        <v>3</v>
      </c>
      <c r="E27" s="92">
        <f>CUM!D15</f>
        <v>4</v>
      </c>
      <c r="F27" s="92">
        <v>4</v>
      </c>
      <c r="G27" s="92">
        <f>'MAT II'!D15</f>
        <v>3</v>
      </c>
      <c r="H27" s="92">
        <f>'NVA BNA'!D15</f>
        <v>2</v>
      </c>
      <c r="I27" s="92">
        <f>CHU!D15</f>
        <v>4</v>
      </c>
      <c r="J27" s="92">
        <f>TER!D15</f>
        <v>3</v>
      </c>
      <c r="K27" s="92">
        <f>'TIG II'!D15</f>
        <v>3</v>
      </c>
      <c r="L27" s="92">
        <f>'TIG III'!D15</f>
        <v>2</v>
      </c>
      <c r="M27" s="92">
        <f>LEC!D15</f>
        <v>6</v>
      </c>
      <c r="N27" s="92">
        <f>POZ!D15</f>
        <v>2</v>
      </c>
      <c r="O27" s="92">
        <f>PTE!D15</f>
        <v>5</v>
      </c>
      <c r="P27" s="92">
        <f>PLC!D15</f>
        <v>5</v>
      </c>
      <c r="Q27" s="92">
        <f>FRE!D15</f>
        <v>1</v>
      </c>
      <c r="R27" s="92">
        <f>VEN!D15</f>
        <v>7</v>
      </c>
      <c r="S27" s="92">
        <f>RED!D15</f>
        <v>5</v>
      </c>
      <c r="T27" s="92">
        <f>BOLPLC!D15</f>
        <v>2</v>
      </c>
      <c r="U27" s="92">
        <f>CHUR!D15</f>
        <v>3</v>
      </c>
      <c r="V27" s="92">
        <f>MANS!D15</f>
        <v>3</v>
      </c>
      <c r="W27" s="92">
        <f>FARO!E15</f>
        <v>4</v>
      </c>
      <c r="X27" s="93">
        <f>SUM(C27:S27)</f>
        <v>62</v>
      </c>
    </row>
    <row r="28" spans="1:24" ht="15" thickBot="1" x14ac:dyDescent="0.35">
      <c r="A28" s="223"/>
      <c r="B28" s="101" t="s">
        <v>112</v>
      </c>
      <c r="C28" s="92">
        <f>ALT!E15</f>
        <v>3</v>
      </c>
      <c r="D28" s="92">
        <f>ANA!E15</f>
        <v>3</v>
      </c>
      <c r="E28" s="92">
        <f>CUM!E15</f>
        <v>4</v>
      </c>
      <c r="F28" s="92">
        <v>4</v>
      </c>
      <c r="G28" s="92">
        <f>'MAT II'!E15</f>
        <v>3</v>
      </c>
      <c r="H28" s="92">
        <f>'NVA BNA'!E15</f>
        <v>2</v>
      </c>
      <c r="I28" s="92">
        <f>CHU!E15</f>
        <v>4</v>
      </c>
      <c r="J28" s="92">
        <f>TER!E15</f>
        <v>3</v>
      </c>
      <c r="K28" s="92">
        <f>'TIG II'!E15</f>
        <v>3</v>
      </c>
      <c r="L28" s="92">
        <f>'TIG III'!E15</f>
        <v>2</v>
      </c>
      <c r="M28" s="92">
        <f>LEC!E15</f>
        <v>6</v>
      </c>
      <c r="N28" s="92">
        <f>POZ!E15</f>
        <v>2</v>
      </c>
      <c r="O28" s="92">
        <f>PTE!E15</f>
        <v>5</v>
      </c>
      <c r="P28" s="92">
        <f>PLC!E15</f>
        <v>5</v>
      </c>
      <c r="Q28" s="92">
        <f>FRE!E15</f>
        <v>1</v>
      </c>
      <c r="R28" s="92">
        <f>VEN!E15</f>
        <v>7</v>
      </c>
      <c r="S28" s="92">
        <f>RED!E15</f>
        <v>5</v>
      </c>
      <c r="T28" s="92">
        <f>BOLPLC!E15</f>
        <v>2</v>
      </c>
      <c r="U28" s="92">
        <f>CHUR!E15</f>
        <v>3</v>
      </c>
      <c r="V28" s="92">
        <f>MANS!E15</f>
        <v>3</v>
      </c>
      <c r="W28" s="92">
        <f>FARO!F15</f>
        <v>4</v>
      </c>
      <c r="X28" s="93">
        <f>SUM(C28:S28)</f>
        <v>62</v>
      </c>
    </row>
    <row r="29" spans="1:24" ht="15" thickBot="1" x14ac:dyDescent="0.35">
      <c r="A29" s="223"/>
      <c r="B29" s="101" t="s">
        <v>113</v>
      </c>
      <c r="C29" s="92">
        <f>ALT!F15</f>
        <v>3</v>
      </c>
      <c r="D29" s="92">
        <f>ANA!F15</f>
        <v>3</v>
      </c>
      <c r="E29" s="92">
        <f>CUM!E15</f>
        <v>4</v>
      </c>
      <c r="F29" s="92">
        <v>4</v>
      </c>
      <c r="G29" s="92">
        <f>'MAT II'!F15</f>
        <v>3</v>
      </c>
      <c r="H29" s="92">
        <f>'NVA BNA'!F15</f>
        <v>2</v>
      </c>
      <c r="I29" s="92">
        <f>CHU!E15</f>
        <v>4</v>
      </c>
      <c r="J29" s="92">
        <f>TER!F15</f>
        <v>2</v>
      </c>
      <c r="K29" s="92">
        <f>'TIG II'!F15</f>
        <v>3</v>
      </c>
      <c r="L29" s="92">
        <f>'TIG III'!F15</f>
        <v>2</v>
      </c>
      <c r="M29" s="92">
        <f>LEC!F15</f>
        <v>6</v>
      </c>
      <c r="N29" s="92">
        <f>POZ!F15</f>
        <v>2</v>
      </c>
      <c r="O29" s="92">
        <f>PTE!F15</f>
        <v>5</v>
      </c>
      <c r="P29" s="92">
        <f>PLC!F15</f>
        <v>4</v>
      </c>
      <c r="Q29" s="92">
        <f>FRE!F15</f>
        <v>1</v>
      </c>
      <c r="R29" s="92">
        <f>VEN!F15</f>
        <v>7</v>
      </c>
      <c r="S29" s="92">
        <f>RED!F15</f>
        <v>5</v>
      </c>
      <c r="T29" s="92">
        <f>BOLPLC!F15</f>
        <v>2</v>
      </c>
      <c r="U29" s="92">
        <f>CHUR!F15</f>
        <v>3</v>
      </c>
      <c r="V29" s="92">
        <f>MANS!F15</f>
        <v>3</v>
      </c>
      <c r="W29" s="92">
        <f>FARO!F15</f>
        <v>4</v>
      </c>
      <c r="X29" s="93">
        <f>SUM(C29:S29)</f>
        <v>60</v>
      </c>
    </row>
    <row r="30" spans="1:24" ht="15" thickBot="1" x14ac:dyDescent="0.35">
      <c r="A30" s="223"/>
      <c r="B30" s="102" t="s">
        <v>114</v>
      </c>
      <c r="C30" s="94">
        <f>+C29/C28</f>
        <v>1</v>
      </c>
      <c r="D30" s="94">
        <f t="shared" ref="D30:X30" si="6">+D29/D28</f>
        <v>1</v>
      </c>
      <c r="E30" s="94">
        <f>+E29/E28</f>
        <v>1</v>
      </c>
      <c r="F30" s="94">
        <f t="shared" si="6"/>
        <v>1</v>
      </c>
      <c r="G30" s="94">
        <f t="shared" si="6"/>
        <v>1</v>
      </c>
      <c r="H30" s="94">
        <f t="shared" si="6"/>
        <v>1</v>
      </c>
      <c r="I30" s="94">
        <f t="shared" si="6"/>
        <v>1</v>
      </c>
      <c r="J30" s="94">
        <f t="shared" si="6"/>
        <v>0.66666666666666663</v>
      </c>
      <c r="K30" s="94">
        <f t="shared" si="6"/>
        <v>1</v>
      </c>
      <c r="L30" s="94">
        <f t="shared" si="6"/>
        <v>1</v>
      </c>
      <c r="M30" s="94">
        <f t="shared" si="6"/>
        <v>1</v>
      </c>
      <c r="N30" s="94">
        <f t="shared" si="6"/>
        <v>1</v>
      </c>
      <c r="O30" s="94">
        <f t="shared" si="6"/>
        <v>1</v>
      </c>
      <c r="P30" s="94">
        <f t="shared" si="6"/>
        <v>0.8</v>
      </c>
      <c r="Q30" s="94">
        <f t="shared" si="6"/>
        <v>1</v>
      </c>
      <c r="R30" s="94">
        <f t="shared" si="6"/>
        <v>1</v>
      </c>
      <c r="S30" s="94">
        <f t="shared" si="6"/>
        <v>1</v>
      </c>
      <c r="T30" s="94">
        <f>+T29/T28</f>
        <v>1</v>
      </c>
      <c r="U30" s="94">
        <f>+U29/U28</f>
        <v>1</v>
      </c>
      <c r="V30" s="94">
        <f>+V29/V28</f>
        <v>1</v>
      </c>
      <c r="W30" s="94">
        <f>+W29/W28</f>
        <v>1</v>
      </c>
      <c r="X30" s="95">
        <f t="shared" si="6"/>
        <v>0.967741935483871</v>
      </c>
    </row>
    <row r="31" spans="1:24" ht="15" thickBot="1" x14ac:dyDescent="0.35">
      <c r="A31" s="218" t="s">
        <v>21</v>
      </c>
      <c r="B31" s="101" t="s">
        <v>111</v>
      </c>
      <c r="C31" s="92">
        <f>ALT!D23</f>
        <v>1</v>
      </c>
      <c r="D31" s="92">
        <f>ANA!D23</f>
        <v>1</v>
      </c>
      <c r="E31" s="92">
        <f>CUM!D23</f>
        <v>1</v>
      </c>
      <c r="F31" s="92">
        <v>1</v>
      </c>
      <c r="G31" s="92">
        <f>'MAT II'!D23</f>
        <v>1</v>
      </c>
      <c r="H31" s="92">
        <f>'NVA BNA'!D23</f>
        <v>1</v>
      </c>
      <c r="I31" s="92">
        <f>CHU!D23</f>
        <v>1</v>
      </c>
      <c r="J31" s="92">
        <f>TER!D23</f>
        <v>1</v>
      </c>
      <c r="K31" s="92">
        <f>'TIG II'!D23</f>
        <v>1</v>
      </c>
      <c r="L31" s="92">
        <f>'TIG III'!D23</f>
        <v>1</v>
      </c>
      <c r="M31" s="92">
        <f>LEC!D25</f>
        <v>3</v>
      </c>
      <c r="N31" s="92">
        <f>POZ!D23</f>
        <v>1</v>
      </c>
      <c r="O31" s="92">
        <f>PTE!D23</f>
        <v>2</v>
      </c>
      <c r="P31" s="92">
        <f>PLC!D23</f>
        <v>1</v>
      </c>
      <c r="Q31" s="92">
        <f>FRE!D23</f>
        <v>1</v>
      </c>
      <c r="R31" s="92">
        <f>VEN!D24</f>
        <v>2</v>
      </c>
      <c r="S31" s="92">
        <f>RED!D23</f>
        <v>1</v>
      </c>
      <c r="T31" s="92">
        <f>BOLPLC!D23</f>
        <v>1</v>
      </c>
      <c r="U31" s="92">
        <f>CHUR!D23</f>
        <v>1</v>
      </c>
      <c r="V31" s="92">
        <f>MANS!D23</f>
        <v>1</v>
      </c>
      <c r="W31" s="92">
        <f>FARO!E23</f>
        <v>1</v>
      </c>
      <c r="X31" s="93">
        <f>SUM(C31:S31)</f>
        <v>21</v>
      </c>
    </row>
    <row r="32" spans="1:24" ht="15" thickBot="1" x14ac:dyDescent="0.35">
      <c r="A32" s="218"/>
      <c r="B32" s="101" t="s">
        <v>112</v>
      </c>
      <c r="C32" s="92">
        <f>ALT!E23</f>
        <v>1</v>
      </c>
      <c r="D32" s="92">
        <f>ANA!E23</f>
        <v>1</v>
      </c>
      <c r="E32" s="92">
        <f>CUM!E23</f>
        <v>1</v>
      </c>
      <c r="F32" s="92">
        <v>1</v>
      </c>
      <c r="G32" s="92">
        <f>'MAT II'!E23</f>
        <v>1</v>
      </c>
      <c r="H32" s="92">
        <f>'NVA BNA'!E23</f>
        <v>1</v>
      </c>
      <c r="I32" s="92">
        <f>CHU!E23</f>
        <v>1</v>
      </c>
      <c r="J32" s="92">
        <f>TER!E23</f>
        <v>1</v>
      </c>
      <c r="K32" s="92">
        <f>'TIG II'!E23</f>
        <v>1</v>
      </c>
      <c r="L32" s="92">
        <f>'TIG III'!E23</f>
        <v>1</v>
      </c>
      <c r="M32" s="92">
        <f>LEC!E25</f>
        <v>3</v>
      </c>
      <c r="N32" s="92">
        <f>POZ!E23</f>
        <v>1</v>
      </c>
      <c r="O32" s="92">
        <f>PTE!E23</f>
        <v>2</v>
      </c>
      <c r="P32" s="92">
        <f>PLC!E23</f>
        <v>1</v>
      </c>
      <c r="Q32" s="92">
        <f>FRE!E23</f>
        <v>1</v>
      </c>
      <c r="R32" s="92">
        <f>VEN!E24</f>
        <v>2</v>
      </c>
      <c r="S32" s="92">
        <f>RED!E23</f>
        <v>1</v>
      </c>
      <c r="T32" s="92">
        <f>BOLPLC!E23</f>
        <v>1</v>
      </c>
      <c r="U32" s="92">
        <f>CHUR!E23</f>
        <v>1</v>
      </c>
      <c r="V32" s="92">
        <f>MANS!E23</f>
        <v>1</v>
      </c>
      <c r="W32" s="92">
        <f>FARO!F23</f>
        <v>1</v>
      </c>
      <c r="X32" s="93">
        <f>SUM(C32:S32)</f>
        <v>21</v>
      </c>
    </row>
    <row r="33" spans="1:24" ht="15" thickBot="1" x14ac:dyDescent="0.35">
      <c r="A33" s="218"/>
      <c r="B33" s="101" t="s">
        <v>113</v>
      </c>
      <c r="C33" s="92">
        <f>ALT!F23</f>
        <v>1</v>
      </c>
      <c r="D33" s="92">
        <f>ANA!F23</f>
        <v>1</v>
      </c>
      <c r="E33" s="92">
        <f>CUM!E23</f>
        <v>1</v>
      </c>
      <c r="F33" s="92">
        <v>1</v>
      </c>
      <c r="G33" s="92">
        <f>'MAT II'!F23</f>
        <v>1</v>
      </c>
      <c r="H33" s="92">
        <f>'NVA BNA'!F23</f>
        <v>1</v>
      </c>
      <c r="I33" s="92">
        <f>CHU!E23</f>
        <v>1</v>
      </c>
      <c r="J33" s="92">
        <f>TER!F23</f>
        <v>1</v>
      </c>
      <c r="K33" s="92">
        <f>'TIG II'!F23</f>
        <v>1</v>
      </c>
      <c r="L33" s="92">
        <f>'TIG III'!F23</f>
        <v>1</v>
      </c>
      <c r="M33" s="92">
        <f>LEC!F25</f>
        <v>3</v>
      </c>
      <c r="N33" s="92">
        <f>POZ!F23</f>
        <v>1</v>
      </c>
      <c r="O33" s="92">
        <f>PTE!F23</f>
        <v>2</v>
      </c>
      <c r="P33" s="92">
        <f>PLC!F23</f>
        <v>1</v>
      </c>
      <c r="Q33" s="92">
        <f>FRE!F23</f>
        <v>1</v>
      </c>
      <c r="R33" s="92">
        <f>VEN!F24</f>
        <v>2</v>
      </c>
      <c r="S33" s="92">
        <f>RED!F23</f>
        <v>1</v>
      </c>
      <c r="T33" s="92">
        <f>BOLPLC!F23</f>
        <v>1</v>
      </c>
      <c r="U33" s="92">
        <f>CHUR!F23</f>
        <v>1</v>
      </c>
      <c r="V33" s="92">
        <f>MANS!F23</f>
        <v>1</v>
      </c>
      <c r="W33" s="111">
        <f>FARO!F23</f>
        <v>1</v>
      </c>
      <c r="X33" s="93">
        <f>SUM(C33:S33)</f>
        <v>21</v>
      </c>
    </row>
    <row r="34" spans="1:24" ht="15" thickBot="1" x14ac:dyDescent="0.35">
      <c r="A34" s="218"/>
      <c r="B34" s="102" t="s">
        <v>114</v>
      </c>
      <c r="C34" s="94">
        <f t="shared" ref="C34:E34" si="7">+C33/C32</f>
        <v>1</v>
      </c>
      <c r="D34" s="94">
        <f t="shared" si="7"/>
        <v>1</v>
      </c>
      <c r="E34" s="94">
        <f t="shared" si="7"/>
        <v>1</v>
      </c>
      <c r="F34" s="94">
        <f>+F33/F32</f>
        <v>1</v>
      </c>
      <c r="G34" s="94">
        <f>+G33/G32</f>
        <v>1</v>
      </c>
      <c r="H34" s="94">
        <f t="shared" ref="H34:W34" si="8">+H33/H32</f>
        <v>1</v>
      </c>
      <c r="I34" s="94">
        <f t="shared" si="8"/>
        <v>1</v>
      </c>
      <c r="J34" s="94">
        <f>+J33/J32</f>
        <v>1</v>
      </c>
      <c r="K34" s="94">
        <f t="shared" si="8"/>
        <v>1</v>
      </c>
      <c r="L34" s="94">
        <f t="shared" si="8"/>
        <v>1</v>
      </c>
      <c r="M34" s="94">
        <f t="shared" si="8"/>
        <v>1</v>
      </c>
      <c r="N34" s="94">
        <f t="shared" si="8"/>
        <v>1</v>
      </c>
      <c r="O34" s="94">
        <f t="shared" si="8"/>
        <v>1</v>
      </c>
      <c r="P34" s="94">
        <f t="shared" si="8"/>
        <v>1</v>
      </c>
      <c r="Q34" s="94">
        <f t="shared" si="8"/>
        <v>1</v>
      </c>
      <c r="R34" s="94">
        <f t="shared" si="8"/>
        <v>1</v>
      </c>
      <c r="S34" s="94">
        <f t="shared" si="8"/>
        <v>1</v>
      </c>
      <c r="T34" s="94">
        <f t="shared" si="8"/>
        <v>1</v>
      </c>
      <c r="U34" s="94">
        <f t="shared" si="8"/>
        <v>1</v>
      </c>
      <c r="V34" s="94">
        <f t="shared" si="8"/>
        <v>1</v>
      </c>
      <c r="W34" s="94">
        <f t="shared" si="8"/>
        <v>1</v>
      </c>
      <c r="X34" s="95">
        <f>+X33/X32</f>
        <v>1</v>
      </c>
    </row>
    <row r="35" spans="1:24" ht="15" thickBot="1" x14ac:dyDescent="0.35">
      <c r="A35" s="218" t="s">
        <v>20</v>
      </c>
      <c r="B35" s="101" t="s">
        <v>111</v>
      </c>
      <c r="C35" s="92">
        <f>ALT!D24</f>
        <v>2</v>
      </c>
      <c r="D35" s="92">
        <f>ANA!D24</f>
        <v>1</v>
      </c>
      <c r="E35" s="92">
        <f>CUM!D24</f>
        <v>1</v>
      </c>
      <c r="F35" s="92">
        <v>1</v>
      </c>
      <c r="G35" s="92">
        <f>'MAT II'!D24</f>
        <v>2</v>
      </c>
      <c r="H35" s="92">
        <f>'NVA BNA'!D24</f>
        <v>1</v>
      </c>
      <c r="I35" s="92">
        <f>CHU!D24</f>
        <v>2</v>
      </c>
      <c r="J35" s="92">
        <f>TER!D24</f>
        <v>1</v>
      </c>
      <c r="K35" s="92">
        <f>'TIG II'!D24</f>
        <v>1</v>
      </c>
      <c r="L35" s="92">
        <f>'TIG III'!D24</f>
        <v>1</v>
      </c>
      <c r="M35" s="92">
        <f>LEC!D26</f>
        <v>4</v>
      </c>
      <c r="N35" s="92">
        <f>POZ!D24</f>
        <v>1</v>
      </c>
      <c r="O35" s="92">
        <f>PTE!D24</f>
        <v>2</v>
      </c>
      <c r="P35" s="92">
        <f>PLC!D24</f>
        <v>2</v>
      </c>
      <c r="Q35" s="92">
        <f>FRE!D24</f>
        <v>1</v>
      </c>
      <c r="R35" s="92">
        <f>VEN!D25</f>
        <v>3</v>
      </c>
      <c r="S35" s="92">
        <f>RED!D24</f>
        <v>2</v>
      </c>
      <c r="T35" s="92">
        <f>BOLPLC!D24</f>
        <v>2</v>
      </c>
      <c r="U35" s="92">
        <f>CHUR!D24</f>
        <v>2</v>
      </c>
      <c r="V35" s="92">
        <f>MANS!D24</f>
        <v>1</v>
      </c>
      <c r="W35" s="92">
        <f>FARO!E24</f>
        <v>1</v>
      </c>
      <c r="X35" s="93">
        <f>SUM(C35:S35)</f>
        <v>28</v>
      </c>
    </row>
    <row r="36" spans="1:24" ht="15" thickBot="1" x14ac:dyDescent="0.35">
      <c r="A36" s="218"/>
      <c r="B36" s="101" t="s">
        <v>112</v>
      </c>
      <c r="C36" s="92">
        <f>ALT!E24</f>
        <v>2</v>
      </c>
      <c r="D36" s="92">
        <f>ANA!E24</f>
        <v>1</v>
      </c>
      <c r="E36" s="92">
        <f>CUM!E24</f>
        <v>1</v>
      </c>
      <c r="F36" s="92">
        <v>1</v>
      </c>
      <c r="G36" s="92">
        <f>'MAT II'!E24</f>
        <v>2</v>
      </c>
      <c r="H36" s="92">
        <f>'NVA BNA'!E24</f>
        <v>1</v>
      </c>
      <c r="I36" s="92">
        <f>CHU!E24</f>
        <v>2</v>
      </c>
      <c r="J36" s="92">
        <f>TER!E24</f>
        <v>1</v>
      </c>
      <c r="K36" s="92">
        <f>'TIG II'!E24</f>
        <v>1</v>
      </c>
      <c r="L36" s="92">
        <f>'TIG III'!E24</f>
        <v>1</v>
      </c>
      <c r="M36" s="92">
        <f>LEC!E26</f>
        <v>4</v>
      </c>
      <c r="N36" s="92">
        <f>POZ!E24</f>
        <v>1</v>
      </c>
      <c r="O36" s="92">
        <f>PTE!E24</f>
        <v>2</v>
      </c>
      <c r="P36" s="92">
        <f>PLC!E24</f>
        <v>2</v>
      </c>
      <c r="Q36" s="92">
        <f>FRE!E24</f>
        <v>1</v>
      </c>
      <c r="R36" s="92">
        <f>VEN!E25</f>
        <v>3</v>
      </c>
      <c r="S36" s="92">
        <f>RED!E24</f>
        <v>2</v>
      </c>
      <c r="T36" s="92">
        <f>BOLPLC!E24</f>
        <v>2</v>
      </c>
      <c r="U36" s="92">
        <f>CHUR!E24</f>
        <v>2</v>
      </c>
      <c r="V36" s="92">
        <f>MANS!E24</f>
        <v>1</v>
      </c>
      <c r="W36" s="92">
        <f>FARO!F24</f>
        <v>1</v>
      </c>
      <c r="X36" s="93">
        <f>SUM(C36:S36)</f>
        <v>28</v>
      </c>
    </row>
    <row r="37" spans="1:24" ht="15" thickBot="1" x14ac:dyDescent="0.35">
      <c r="A37" s="218"/>
      <c r="B37" s="101" t="s">
        <v>113</v>
      </c>
      <c r="C37" s="92">
        <f>ALT!F24</f>
        <v>2</v>
      </c>
      <c r="D37" s="92">
        <f>ANA!F24</f>
        <v>1</v>
      </c>
      <c r="E37" s="92">
        <f>CUM!E24</f>
        <v>1</v>
      </c>
      <c r="F37" s="92">
        <v>1</v>
      </c>
      <c r="G37" s="92">
        <f>'MAT II'!F24</f>
        <v>2</v>
      </c>
      <c r="H37" s="92">
        <f>'NVA BNA'!F24</f>
        <v>1</v>
      </c>
      <c r="I37" s="92">
        <f>CHU!E24</f>
        <v>2</v>
      </c>
      <c r="J37" s="92">
        <f>TER!F24</f>
        <v>1</v>
      </c>
      <c r="K37" s="92">
        <f>'TIG II'!F24</f>
        <v>1</v>
      </c>
      <c r="L37" s="92">
        <f>'TIG III'!F24</f>
        <v>1</v>
      </c>
      <c r="M37" s="92">
        <f>LEC!F26</f>
        <v>4</v>
      </c>
      <c r="N37" s="92">
        <f>POZ!F24</f>
        <v>1</v>
      </c>
      <c r="O37" s="92">
        <f>PTE!F24</f>
        <v>2</v>
      </c>
      <c r="P37" s="92">
        <f>PLC!F24</f>
        <v>2</v>
      </c>
      <c r="Q37" s="92">
        <f>FRE!F24</f>
        <v>1</v>
      </c>
      <c r="R37" s="92">
        <f>VEN!F25</f>
        <v>3</v>
      </c>
      <c r="S37" s="92">
        <f>RED!F24</f>
        <v>2</v>
      </c>
      <c r="T37" s="92">
        <f>BOLPLC!F24</f>
        <v>2</v>
      </c>
      <c r="U37" s="92">
        <f>CHUR!F24</f>
        <v>2</v>
      </c>
      <c r="V37" s="92">
        <f>MANS!F24</f>
        <v>1</v>
      </c>
      <c r="W37" s="92">
        <f>FARO!F24</f>
        <v>1</v>
      </c>
      <c r="X37" s="93">
        <f>SUM(C37:S37)</f>
        <v>28</v>
      </c>
    </row>
    <row r="38" spans="1:24" ht="15" thickBot="1" x14ac:dyDescent="0.35">
      <c r="A38" s="218"/>
      <c r="B38" s="102" t="s">
        <v>114</v>
      </c>
      <c r="C38" s="94">
        <f>+C37/C36</f>
        <v>1</v>
      </c>
      <c r="D38" s="94">
        <f t="shared" ref="D38:X38" si="9">+D37/D36</f>
        <v>1</v>
      </c>
      <c r="E38" s="94">
        <f t="shared" si="9"/>
        <v>1</v>
      </c>
      <c r="F38" s="94">
        <f t="shared" si="9"/>
        <v>1</v>
      </c>
      <c r="G38" s="94">
        <f t="shared" si="9"/>
        <v>1</v>
      </c>
      <c r="H38" s="94">
        <f t="shared" si="9"/>
        <v>1</v>
      </c>
      <c r="I38" s="94">
        <f t="shared" si="9"/>
        <v>1</v>
      </c>
      <c r="J38" s="94">
        <f t="shared" si="9"/>
        <v>1</v>
      </c>
      <c r="K38" s="94">
        <f t="shared" si="9"/>
        <v>1</v>
      </c>
      <c r="L38" s="94">
        <f t="shared" si="9"/>
        <v>1</v>
      </c>
      <c r="M38" s="94">
        <f t="shared" si="9"/>
        <v>1</v>
      </c>
      <c r="N38" s="94">
        <f t="shared" si="9"/>
        <v>1</v>
      </c>
      <c r="O38" s="94">
        <f t="shared" si="9"/>
        <v>1</v>
      </c>
      <c r="P38" s="94">
        <f t="shared" si="9"/>
        <v>1</v>
      </c>
      <c r="Q38" s="94">
        <f t="shared" si="9"/>
        <v>1</v>
      </c>
      <c r="R38" s="94">
        <f t="shared" si="9"/>
        <v>1</v>
      </c>
      <c r="S38" s="94">
        <f>+S37/S36</f>
        <v>1</v>
      </c>
      <c r="T38" s="94">
        <f t="shared" si="9"/>
        <v>1</v>
      </c>
      <c r="U38" s="94">
        <f>+U37/U36</f>
        <v>1</v>
      </c>
      <c r="V38" s="94">
        <f>+V37/V36</f>
        <v>1</v>
      </c>
      <c r="W38" s="94">
        <f>+W37/W36</f>
        <v>1</v>
      </c>
      <c r="X38" s="95">
        <f t="shared" si="9"/>
        <v>1</v>
      </c>
    </row>
    <row r="39" spans="1:24" ht="15" thickBot="1" x14ac:dyDescent="0.35">
      <c r="A39" s="218" t="s">
        <v>8</v>
      </c>
      <c r="B39" s="101" t="s">
        <v>111</v>
      </c>
      <c r="C39" s="92">
        <f>ALT!D25</f>
        <v>5</v>
      </c>
      <c r="D39" s="92">
        <f>ANA!D25</f>
        <v>4</v>
      </c>
      <c r="E39" s="92">
        <f>CUM!D25</f>
        <v>5</v>
      </c>
      <c r="F39" s="92">
        <v>4</v>
      </c>
      <c r="G39" s="92">
        <f>'MAT II'!D25</f>
        <v>5</v>
      </c>
      <c r="H39" s="92">
        <f>'NVA BNA'!D25</f>
        <v>4</v>
      </c>
      <c r="I39" s="92">
        <f>CHU!D25</f>
        <v>5</v>
      </c>
      <c r="J39" s="92">
        <f>TER!D25</f>
        <v>4</v>
      </c>
      <c r="K39" s="92">
        <f>'TIG II'!D25</f>
        <v>4</v>
      </c>
      <c r="L39" s="92">
        <f>'TIG III'!D25</f>
        <v>3</v>
      </c>
      <c r="M39" s="92">
        <f>LEC!D27</f>
        <v>8</v>
      </c>
      <c r="N39" s="92">
        <f>POZ!D25</f>
        <v>4</v>
      </c>
      <c r="O39" s="92">
        <f>PTE!D25</f>
        <v>6</v>
      </c>
      <c r="P39" s="92">
        <f>PLC!D25</f>
        <v>6</v>
      </c>
      <c r="Q39" s="92">
        <f>FRE!D25</f>
        <v>2</v>
      </c>
      <c r="R39" s="92">
        <f>VEN!D26</f>
        <v>8</v>
      </c>
      <c r="S39" s="92">
        <f>RED!D25</f>
        <v>5</v>
      </c>
      <c r="T39" s="92">
        <f>BOLPLC!D25</f>
        <v>3</v>
      </c>
      <c r="U39" s="92">
        <f>CHUR!D25</f>
        <v>4</v>
      </c>
      <c r="V39" s="92">
        <f>MANS!D25</f>
        <v>4</v>
      </c>
      <c r="W39" s="92">
        <f>FARO!E25</f>
        <v>5</v>
      </c>
      <c r="X39" s="93">
        <f>SUM(C39:S39)</f>
        <v>82</v>
      </c>
    </row>
    <row r="40" spans="1:24" ht="15" thickBot="1" x14ac:dyDescent="0.35">
      <c r="A40" s="218"/>
      <c r="B40" s="101" t="s">
        <v>112</v>
      </c>
      <c r="C40" s="92">
        <f>ALT!E25</f>
        <v>5</v>
      </c>
      <c r="D40" s="92">
        <f>ANA!E25</f>
        <v>4</v>
      </c>
      <c r="E40" s="92">
        <f>CUM!E25</f>
        <v>5</v>
      </c>
      <c r="F40" s="92">
        <v>4</v>
      </c>
      <c r="G40" s="92">
        <f>'MAT II'!E25</f>
        <v>5</v>
      </c>
      <c r="H40" s="92">
        <f>'NVA BNA'!E25</f>
        <v>4</v>
      </c>
      <c r="I40" s="92">
        <f>CHU!E25</f>
        <v>5</v>
      </c>
      <c r="J40" s="92">
        <f>TER!E25</f>
        <v>4</v>
      </c>
      <c r="K40" s="92">
        <f>'TIG II'!E25</f>
        <v>4</v>
      </c>
      <c r="L40" s="92">
        <f>'TIG III'!E25</f>
        <v>3</v>
      </c>
      <c r="M40" s="92">
        <f>LEC!E27</f>
        <v>8</v>
      </c>
      <c r="N40" s="92">
        <f>POZ!E25</f>
        <v>4</v>
      </c>
      <c r="O40" s="92">
        <f>PTE!E25</f>
        <v>6</v>
      </c>
      <c r="P40" s="92">
        <f>PLC!E25</f>
        <v>6</v>
      </c>
      <c r="Q40" s="92">
        <f>FRE!E25</f>
        <v>2</v>
      </c>
      <c r="R40" s="92">
        <f>VEN!E26</f>
        <v>8</v>
      </c>
      <c r="S40" s="92">
        <f>RED!E25</f>
        <v>5</v>
      </c>
      <c r="T40" s="92">
        <f>BOLPLC!E25</f>
        <v>3</v>
      </c>
      <c r="U40" s="92">
        <f>CHUR!E25</f>
        <v>4</v>
      </c>
      <c r="V40" s="92">
        <f>MANS!E25</f>
        <v>4</v>
      </c>
      <c r="W40" s="92">
        <f>FARO!F25</f>
        <v>5</v>
      </c>
      <c r="X40" s="93">
        <f>SUM(C40:S40)</f>
        <v>82</v>
      </c>
    </row>
    <row r="41" spans="1:24" ht="15" thickBot="1" x14ac:dyDescent="0.35">
      <c r="A41" s="218"/>
      <c r="B41" s="101" t="s">
        <v>113</v>
      </c>
      <c r="C41" s="92">
        <f>ALT!F25</f>
        <v>5</v>
      </c>
      <c r="D41" s="92">
        <f>ANA!F25</f>
        <v>4</v>
      </c>
      <c r="E41" s="92">
        <f>CUM!E25</f>
        <v>5</v>
      </c>
      <c r="F41" s="92">
        <v>4</v>
      </c>
      <c r="G41" s="92">
        <f>'MAT II'!F25</f>
        <v>5</v>
      </c>
      <c r="H41" s="92">
        <f>'NVA BNA'!F25</f>
        <v>4</v>
      </c>
      <c r="I41" s="92">
        <f>CHU!E24</f>
        <v>2</v>
      </c>
      <c r="J41" s="92">
        <f>TER!F25</f>
        <v>4</v>
      </c>
      <c r="K41" s="92">
        <f>'TIG II'!F25</f>
        <v>4</v>
      </c>
      <c r="L41" s="92">
        <f>'TIG III'!F25</f>
        <v>3</v>
      </c>
      <c r="M41" s="92">
        <f>LEC!F27</f>
        <v>8</v>
      </c>
      <c r="N41" s="92">
        <f>POZ!F25</f>
        <v>4</v>
      </c>
      <c r="O41" s="92">
        <f>PTE!F25</f>
        <v>6</v>
      </c>
      <c r="P41" s="92">
        <f>PLC!F25</f>
        <v>6</v>
      </c>
      <c r="Q41" s="92">
        <f>FRE!F25</f>
        <v>2</v>
      </c>
      <c r="R41" s="92">
        <f>VEN!F26</f>
        <v>8</v>
      </c>
      <c r="S41" s="92">
        <f>RED!F25</f>
        <v>5</v>
      </c>
      <c r="T41" s="92">
        <f>BOLPLC!F25</f>
        <v>3</v>
      </c>
      <c r="U41" s="92">
        <f>CHUR!F25</f>
        <v>4</v>
      </c>
      <c r="V41" s="92">
        <f>MANS!F25</f>
        <v>4</v>
      </c>
      <c r="W41" s="111">
        <f>FARO!F25</f>
        <v>5</v>
      </c>
      <c r="X41" s="93">
        <f>SUM(C41:S41)</f>
        <v>79</v>
      </c>
    </row>
    <row r="42" spans="1:24" ht="15" thickBot="1" x14ac:dyDescent="0.35">
      <c r="A42" s="218"/>
      <c r="B42" s="102" t="s">
        <v>114</v>
      </c>
      <c r="C42" s="94">
        <f>+C41/C40</f>
        <v>1</v>
      </c>
      <c r="D42" s="94">
        <f t="shared" ref="D42:X42" si="10">+D41/D40</f>
        <v>1</v>
      </c>
      <c r="E42" s="94">
        <f t="shared" si="10"/>
        <v>1</v>
      </c>
      <c r="F42" s="94">
        <f t="shared" si="10"/>
        <v>1</v>
      </c>
      <c r="G42" s="94">
        <f t="shared" si="10"/>
        <v>1</v>
      </c>
      <c r="H42" s="94">
        <f>+H41/H40</f>
        <v>1</v>
      </c>
      <c r="I42" s="94">
        <f t="shared" si="10"/>
        <v>0.4</v>
      </c>
      <c r="J42" s="94">
        <f t="shared" si="10"/>
        <v>1</v>
      </c>
      <c r="K42" s="94">
        <f t="shared" si="10"/>
        <v>1</v>
      </c>
      <c r="L42" s="94">
        <f t="shared" si="10"/>
        <v>1</v>
      </c>
      <c r="M42" s="94">
        <f t="shared" si="10"/>
        <v>1</v>
      </c>
      <c r="N42" s="94">
        <f t="shared" si="10"/>
        <v>1</v>
      </c>
      <c r="O42" s="94">
        <f t="shared" si="10"/>
        <v>1</v>
      </c>
      <c r="P42" s="94">
        <f t="shared" si="10"/>
        <v>1</v>
      </c>
      <c r="Q42" s="94">
        <f t="shared" si="10"/>
        <v>1</v>
      </c>
      <c r="R42" s="94">
        <f>+R41/R40</f>
        <v>1</v>
      </c>
      <c r="S42" s="94">
        <f t="shared" si="10"/>
        <v>1</v>
      </c>
      <c r="T42" s="94">
        <f t="shared" si="10"/>
        <v>1</v>
      </c>
      <c r="U42" s="94">
        <f>+U41/U40</f>
        <v>1</v>
      </c>
      <c r="V42" s="94">
        <f>+V41/V40</f>
        <v>1</v>
      </c>
      <c r="W42" s="94">
        <f>+W41/W40</f>
        <v>1</v>
      </c>
      <c r="X42" s="97">
        <f t="shared" si="10"/>
        <v>0.96341463414634143</v>
      </c>
    </row>
    <row r="43" spans="1:24" ht="15" thickBot="1" x14ac:dyDescent="0.35">
      <c r="A43" s="221" t="s">
        <v>132</v>
      </c>
      <c r="B43" s="101" t="s">
        <v>111</v>
      </c>
      <c r="C43" s="92">
        <f>ALT!D26</f>
        <v>2</v>
      </c>
      <c r="D43" s="92">
        <f>ANA!D26</f>
        <v>2</v>
      </c>
      <c r="E43" s="92">
        <f>CUM!D26</f>
        <v>2</v>
      </c>
      <c r="F43" s="92">
        <v>1</v>
      </c>
      <c r="G43" s="92">
        <f>'MAT II'!D26</f>
        <v>2</v>
      </c>
      <c r="H43" s="92">
        <f>'NVA BNA'!D26</f>
        <v>1</v>
      </c>
      <c r="I43" s="92">
        <f>CHU!D26</f>
        <v>2</v>
      </c>
      <c r="J43" s="92">
        <f>TER!D26</f>
        <v>2</v>
      </c>
      <c r="K43" s="92">
        <f>'TIG II'!D26</f>
        <v>2</v>
      </c>
      <c r="L43" s="92">
        <f>'TIG III'!D26</f>
        <v>2</v>
      </c>
      <c r="M43" s="92">
        <f>LEC!D28</f>
        <v>4</v>
      </c>
      <c r="N43" s="92">
        <f>POZ!D26</f>
        <v>2</v>
      </c>
      <c r="O43" s="92">
        <f>PTE!D26</f>
        <v>2</v>
      </c>
      <c r="P43" s="92">
        <f>PLC!D26</f>
        <v>2</v>
      </c>
      <c r="Q43" s="92">
        <f>FRE!D26</f>
        <v>0</v>
      </c>
      <c r="R43" s="92">
        <f>VEN!D27</f>
        <v>3</v>
      </c>
      <c r="S43" s="92">
        <f>RED!D26</f>
        <v>2</v>
      </c>
      <c r="T43" s="92">
        <f>BOLPLC!D26</f>
        <v>1</v>
      </c>
      <c r="U43" s="92">
        <f>CHUR!D26</f>
        <v>1</v>
      </c>
      <c r="V43" s="92">
        <f>MANS!D26</f>
        <v>1</v>
      </c>
      <c r="W43" s="92">
        <f>FARO!E26</f>
        <v>1</v>
      </c>
      <c r="X43" s="93">
        <f>SUM(C43:S43)</f>
        <v>33</v>
      </c>
    </row>
    <row r="44" spans="1:24" ht="15" thickBot="1" x14ac:dyDescent="0.35">
      <c r="A44" s="221"/>
      <c r="B44" s="101" t="s">
        <v>112</v>
      </c>
      <c r="C44" s="92">
        <f>ALT!E26</f>
        <v>2</v>
      </c>
      <c r="D44" s="92">
        <f>ANA!E26</f>
        <v>2</v>
      </c>
      <c r="E44" s="92">
        <f>CUM!E26</f>
        <v>2</v>
      </c>
      <c r="F44" s="92">
        <v>1</v>
      </c>
      <c r="G44" s="92">
        <f>'MAT II'!E26</f>
        <v>2</v>
      </c>
      <c r="H44" s="92">
        <f>'NVA BNA'!E26</f>
        <v>1</v>
      </c>
      <c r="I44" s="92">
        <f>CHU!E26</f>
        <v>2</v>
      </c>
      <c r="J44" s="92">
        <f>TER!E26</f>
        <v>2</v>
      </c>
      <c r="K44" s="92">
        <f>'TIG II'!E26</f>
        <v>2</v>
      </c>
      <c r="L44" s="92">
        <f>'TIG III'!E26</f>
        <v>2</v>
      </c>
      <c r="M44" s="92">
        <f>LEC!E28</f>
        <v>4</v>
      </c>
      <c r="N44" s="92">
        <f>POZ!E26</f>
        <v>2</v>
      </c>
      <c r="O44" s="92">
        <f>PTE!E26</f>
        <v>2</v>
      </c>
      <c r="P44" s="92">
        <f>PLC!E26</f>
        <v>2</v>
      </c>
      <c r="Q44" s="92">
        <f>FRE!E26</f>
        <v>0</v>
      </c>
      <c r="R44" s="92">
        <f>VEN!E27</f>
        <v>3</v>
      </c>
      <c r="S44" s="92">
        <f>RED!E26</f>
        <v>2</v>
      </c>
      <c r="T44" s="92">
        <f>BOLPLC!E26</f>
        <v>1</v>
      </c>
      <c r="U44" s="92">
        <f>CHUR!E26</f>
        <v>1</v>
      </c>
      <c r="V44" s="92">
        <f>MANS!E26</f>
        <v>1</v>
      </c>
      <c r="W44" s="92">
        <f>FARO!F26</f>
        <v>1</v>
      </c>
      <c r="X44" s="93">
        <f>SUM(C44:S44)</f>
        <v>33</v>
      </c>
    </row>
    <row r="45" spans="1:24" ht="15" thickBot="1" x14ac:dyDescent="0.35">
      <c r="A45" s="221"/>
      <c r="B45" s="101" t="s">
        <v>113</v>
      </c>
      <c r="C45" s="92">
        <f>ALT!F26</f>
        <v>2</v>
      </c>
      <c r="D45" s="92">
        <f>ANA!F26</f>
        <v>2</v>
      </c>
      <c r="E45" s="92">
        <f>CUM!E26</f>
        <v>2</v>
      </c>
      <c r="F45" s="92">
        <v>0</v>
      </c>
      <c r="G45" s="92">
        <f>'MAT II'!F26</f>
        <v>2</v>
      </c>
      <c r="H45" s="92">
        <f>'NVA BNA'!F26</f>
        <v>1</v>
      </c>
      <c r="I45" s="92">
        <f>CHU!E26</f>
        <v>2</v>
      </c>
      <c r="J45" s="92">
        <f>TER!F26</f>
        <v>2</v>
      </c>
      <c r="K45" s="92">
        <f>'TIG II'!F26</f>
        <v>2</v>
      </c>
      <c r="L45" s="92">
        <f>'TIG III'!F26</f>
        <v>2</v>
      </c>
      <c r="M45" s="92">
        <f>LEC!F28</f>
        <v>4</v>
      </c>
      <c r="N45" s="92">
        <f>POZ!F26</f>
        <v>2</v>
      </c>
      <c r="O45" s="92">
        <f>PTE!F26</f>
        <v>2</v>
      </c>
      <c r="P45" s="92">
        <f>PLC!F26</f>
        <v>2</v>
      </c>
      <c r="Q45" s="92">
        <f>FRE!F26</f>
        <v>0</v>
      </c>
      <c r="R45" s="92">
        <f>VEN!F27</f>
        <v>3</v>
      </c>
      <c r="S45" s="92">
        <f>RED!F26</f>
        <v>2</v>
      </c>
      <c r="T45" s="92">
        <f>BOLPLC!F26</f>
        <v>1</v>
      </c>
      <c r="U45" s="92">
        <f>CHUR!F26</f>
        <v>1</v>
      </c>
      <c r="V45" s="92">
        <f>MANS!F26</f>
        <v>1</v>
      </c>
      <c r="W45" s="92">
        <f>FARO!F26</f>
        <v>1</v>
      </c>
      <c r="X45" s="93">
        <f>SUM(C45:S45)</f>
        <v>32</v>
      </c>
    </row>
    <row r="46" spans="1:24" ht="15" thickBot="1" x14ac:dyDescent="0.35">
      <c r="A46" s="221"/>
      <c r="B46" s="102" t="s">
        <v>114</v>
      </c>
      <c r="C46" s="94">
        <f>+C45/C44</f>
        <v>1</v>
      </c>
      <c r="D46" s="94">
        <f t="shared" ref="D46:X46" si="11">+D45/D44</f>
        <v>1</v>
      </c>
      <c r="E46" s="94">
        <f t="shared" si="11"/>
        <v>1</v>
      </c>
      <c r="F46" s="94">
        <f t="shared" si="11"/>
        <v>0</v>
      </c>
      <c r="G46" s="94">
        <f t="shared" si="11"/>
        <v>1</v>
      </c>
      <c r="H46" s="94">
        <f t="shared" si="11"/>
        <v>1</v>
      </c>
      <c r="I46" s="94">
        <f t="shared" si="11"/>
        <v>1</v>
      </c>
      <c r="J46" s="94">
        <f t="shared" si="11"/>
        <v>1</v>
      </c>
      <c r="K46" s="94">
        <f t="shared" si="11"/>
        <v>1</v>
      </c>
      <c r="L46" s="94">
        <f t="shared" si="11"/>
        <v>1</v>
      </c>
      <c r="M46" s="94">
        <f t="shared" si="11"/>
        <v>1</v>
      </c>
      <c r="N46" s="94">
        <f t="shared" si="11"/>
        <v>1</v>
      </c>
      <c r="O46" s="94">
        <f t="shared" si="11"/>
        <v>1</v>
      </c>
      <c r="P46" s="94">
        <f t="shared" si="11"/>
        <v>1</v>
      </c>
      <c r="Q46" s="94" t="e">
        <f t="shared" si="11"/>
        <v>#DIV/0!</v>
      </c>
      <c r="R46" s="94">
        <f t="shared" si="11"/>
        <v>1</v>
      </c>
      <c r="S46" s="94">
        <f t="shared" si="11"/>
        <v>1</v>
      </c>
      <c r="T46" s="94">
        <f t="shared" si="11"/>
        <v>1</v>
      </c>
      <c r="U46" s="94">
        <f t="shared" si="11"/>
        <v>1</v>
      </c>
      <c r="V46" s="94">
        <f t="shared" si="11"/>
        <v>1</v>
      </c>
      <c r="W46" s="94">
        <f>+W45/W43</f>
        <v>1</v>
      </c>
      <c r="X46" s="95">
        <f t="shared" si="11"/>
        <v>0.96969696969696972</v>
      </c>
    </row>
    <row r="47" spans="1:24" ht="15" thickBot="1" x14ac:dyDescent="0.35">
      <c r="A47" s="218" t="s">
        <v>115</v>
      </c>
      <c r="B47" s="101" t="s">
        <v>111</v>
      </c>
      <c r="C47" s="92">
        <f>ALT!D27</f>
        <v>1</v>
      </c>
      <c r="D47" s="92">
        <f>ANA!D27</f>
        <v>1</v>
      </c>
      <c r="E47" s="92">
        <f>CUM!D27</f>
        <v>1</v>
      </c>
      <c r="F47" s="92">
        <v>1</v>
      </c>
      <c r="G47" s="92">
        <f>'MAT II'!D27</f>
        <v>1</v>
      </c>
      <c r="H47" s="92">
        <f>'NVA BNA'!D27</f>
        <v>1</v>
      </c>
      <c r="I47" s="92">
        <f>CHU!D27</f>
        <v>1</v>
      </c>
      <c r="J47" s="92">
        <f>TER!D27</f>
        <v>1</v>
      </c>
      <c r="K47" s="92">
        <f>'TIG II'!D27</f>
        <v>1</v>
      </c>
      <c r="L47" s="92">
        <f>'TIG III'!D27</f>
        <v>1</v>
      </c>
      <c r="M47" s="92">
        <f>LEC!D29</f>
        <v>1</v>
      </c>
      <c r="N47" s="92">
        <f>POZ!D27</f>
        <v>1</v>
      </c>
      <c r="O47" s="92">
        <f>PTE!D27</f>
        <v>1</v>
      </c>
      <c r="P47" s="92">
        <f>PLC!D27</f>
        <v>1</v>
      </c>
      <c r="Q47" s="92">
        <f>FRE!D27</f>
        <v>1</v>
      </c>
      <c r="R47" s="92">
        <f>VEN!D28</f>
        <v>1</v>
      </c>
      <c r="S47" s="92">
        <f>RED!D27</f>
        <v>1</v>
      </c>
      <c r="T47" s="92">
        <f>BOLPLC!D27</f>
        <v>1</v>
      </c>
      <c r="U47" s="92">
        <f>CHUR!D27</f>
        <v>1</v>
      </c>
      <c r="V47" s="92">
        <f>MANS!D27</f>
        <v>1</v>
      </c>
      <c r="W47" s="92">
        <f>FARO!E27</f>
        <v>1</v>
      </c>
      <c r="X47" s="98">
        <f>SUM(C47:S47)</f>
        <v>17</v>
      </c>
    </row>
    <row r="48" spans="1:24" ht="15" thickBot="1" x14ac:dyDescent="0.35">
      <c r="A48" s="218"/>
      <c r="B48" s="101" t="s">
        <v>112</v>
      </c>
      <c r="C48" s="92">
        <f>ALT!E27</f>
        <v>1</v>
      </c>
      <c r="D48" s="92">
        <f>ANA!E27</f>
        <v>1</v>
      </c>
      <c r="E48" s="92">
        <f>CUM!E27</f>
        <v>1</v>
      </c>
      <c r="F48" s="92">
        <v>1</v>
      </c>
      <c r="G48" s="92">
        <f>'MAT II'!E27</f>
        <v>1</v>
      </c>
      <c r="H48" s="92">
        <f>'NVA BNA'!E27</f>
        <v>1</v>
      </c>
      <c r="I48" s="92">
        <f>CHU!E27</f>
        <v>1</v>
      </c>
      <c r="J48" s="92">
        <f>TER!E27</f>
        <v>1</v>
      </c>
      <c r="K48" s="92">
        <f>'TIG II'!E27</f>
        <v>1</v>
      </c>
      <c r="L48" s="92">
        <f>'TIG III'!E27</f>
        <v>1</v>
      </c>
      <c r="M48" s="92">
        <f>LEC!E29</f>
        <v>1</v>
      </c>
      <c r="N48" s="92">
        <f>POZ!E27</f>
        <v>1</v>
      </c>
      <c r="O48" s="92">
        <f>PTE!E27</f>
        <v>1</v>
      </c>
      <c r="P48" s="92">
        <f>PLC!E27</f>
        <v>1</v>
      </c>
      <c r="Q48" s="92">
        <f>FRE!E27</f>
        <v>1</v>
      </c>
      <c r="R48" s="92">
        <f>VEN!E28</f>
        <v>1</v>
      </c>
      <c r="S48" s="92">
        <f>RED!E27</f>
        <v>1</v>
      </c>
      <c r="T48" s="92">
        <f>BOLPLC!E27</f>
        <v>1</v>
      </c>
      <c r="U48" s="92">
        <f>CHUR!E27</f>
        <v>1</v>
      </c>
      <c r="V48" s="92">
        <f>MANS!E27</f>
        <v>1</v>
      </c>
      <c r="W48" s="92">
        <f>FARO!F27</f>
        <v>1</v>
      </c>
      <c r="X48" s="98">
        <f>SUM(C48:S48)</f>
        <v>17</v>
      </c>
    </row>
    <row r="49" spans="1:24" ht="15" thickBot="1" x14ac:dyDescent="0.35">
      <c r="A49" s="218"/>
      <c r="B49" s="101" t="s">
        <v>113</v>
      </c>
      <c r="C49" s="92">
        <f>ALT!F27</f>
        <v>1</v>
      </c>
      <c r="D49" s="92">
        <f>ANA!F27</f>
        <v>1</v>
      </c>
      <c r="E49" s="92">
        <f>CUM!E27</f>
        <v>1</v>
      </c>
      <c r="F49" s="92">
        <v>1</v>
      </c>
      <c r="G49" s="92">
        <f>'MAT II'!F27</f>
        <v>1</v>
      </c>
      <c r="H49" s="92">
        <f>'NVA BNA'!F27</f>
        <v>1</v>
      </c>
      <c r="I49" s="92">
        <f>CHU!E27</f>
        <v>1</v>
      </c>
      <c r="J49" s="92">
        <f>TER!F27</f>
        <v>1</v>
      </c>
      <c r="K49" s="92">
        <f>'TIG II'!F27</f>
        <v>1</v>
      </c>
      <c r="L49" s="92">
        <f>'TIG III'!F27</f>
        <v>1</v>
      </c>
      <c r="M49" s="92">
        <f>LEC!F29</f>
        <v>1</v>
      </c>
      <c r="N49" s="92">
        <f>POZ!F27</f>
        <v>1</v>
      </c>
      <c r="O49" s="92">
        <f>PTE!F27</f>
        <v>1</v>
      </c>
      <c r="P49" s="92">
        <f>PLC!F27</f>
        <v>1</v>
      </c>
      <c r="Q49" s="92">
        <f>FRE!F27</f>
        <v>1</v>
      </c>
      <c r="R49" s="92">
        <f>VEN!F28</f>
        <v>1</v>
      </c>
      <c r="S49" s="92">
        <f>RED!F27</f>
        <v>1</v>
      </c>
      <c r="T49" s="92">
        <f>BOLPLC!F27</f>
        <v>1</v>
      </c>
      <c r="U49" s="92">
        <f>CHUR!F27</f>
        <v>1</v>
      </c>
      <c r="V49" s="92">
        <f>MANS!F27</f>
        <v>1</v>
      </c>
      <c r="W49" s="92">
        <f>FARO!F27</f>
        <v>1</v>
      </c>
      <c r="X49" s="98">
        <f>SUM(C49:S49)</f>
        <v>17</v>
      </c>
    </row>
    <row r="50" spans="1:24" ht="15" thickBot="1" x14ac:dyDescent="0.35">
      <c r="A50" s="218"/>
      <c r="B50" s="102" t="s">
        <v>114</v>
      </c>
      <c r="C50" s="94">
        <f>+C49/C48</f>
        <v>1</v>
      </c>
      <c r="D50" s="94">
        <f t="shared" ref="D50:X50" si="12">+D49/D48</f>
        <v>1</v>
      </c>
      <c r="E50" s="94">
        <f t="shared" si="12"/>
        <v>1</v>
      </c>
      <c r="F50" s="94">
        <f t="shared" si="12"/>
        <v>1</v>
      </c>
      <c r="G50" s="94">
        <f t="shared" si="12"/>
        <v>1</v>
      </c>
      <c r="H50" s="94">
        <f t="shared" si="12"/>
        <v>1</v>
      </c>
      <c r="I50" s="94">
        <f t="shared" si="12"/>
        <v>1</v>
      </c>
      <c r="J50" s="94">
        <f t="shared" si="12"/>
        <v>1</v>
      </c>
      <c r="K50" s="94">
        <f t="shared" si="12"/>
        <v>1</v>
      </c>
      <c r="L50" s="94">
        <f t="shared" si="12"/>
        <v>1</v>
      </c>
      <c r="M50" s="94">
        <f t="shared" si="12"/>
        <v>1</v>
      </c>
      <c r="N50" s="94">
        <f t="shared" si="12"/>
        <v>1</v>
      </c>
      <c r="O50" s="94">
        <f t="shared" si="12"/>
        <v>1</v>
      </c>
      <c r="P50" s="94">
        <f t="shared" si="12"/>
        <v>1</v>
      </c>
      <c r="Q50" s="94">
        <f t="shared" si="12"/>
        <v>1</v>
      </c>
      <c r="R50" s="94">
        <f t="shared" si="12"/>
        <v>1</v>
      </c>
      <c r="S50" s="94">
        <f t="shared" si="12"/>
        <v>1</v>
      </c>
      <c r="T50" s="94">
        <f t="shared" si="12"/>
        <v>1</v>
      </c>
      <c r="U50" s="94">
        <f t="shared" si="12"/>
        <v>1</v>
      </c>
      <c r="V50" s="94">
        <f t="shared" si="12"/>
        <v>1</v>
      </c>
      <c r="W50" s="94">
        <f t="shared" si="12"/>
        <v>1</v>
      </c>
      <c r="X50" s="95">
        <f t="shared" si="12"/>
        <v>1</v>
      </c>
    </row>
    <row r="51" spans="1:24" ht="15" thickBot="1" x14ac:dyDescent="0.35">
      <c r="A51" s="218" t="s">
        <v>56</v>
      </c>
      <c r="B51" s="101" t="s">
        <v>111</v>
      </c>
      <c r="C51" s="92">
        <f>ALT!D28</f>
        <v>1</v>
      </c>
      <c r="D51" s="92">
        <f>ANA!D28</f>
        <v>1</v>
      </c>
      <c r="E51" s="92">
        <f>CUM!D28</f>
        <v>1</v>
      </c>
      <c r="F51" s="92">
        <v>1</v>
      </c>
      <c r="G51" s="92">
        <f>'MAT II'!D28</f>
        <v>1</v>
      </c>
      <c r="H51" s="92">
        <f>'NVA BNA'!D28</f>
        <v>1</v>
      </c>
      <c r="I51" s="92">
        <f>CHU!D28</f>
        <v>1</v>
      </c>
      <c r="J51" s="92">
        <f>TER!D28</f>
        <v>1</v>
      </c>
      <c r="K51" s="92">
        <f>'TIG II'!D28</f>
        <v>1</v>
      </c>
      <c r="L51" s="92">
        <f>'TIG III'!D28</f>
        <v>1</v>
      </c>
      <c r="M51" s="92">
        <f>LEC!D30</f>
        <v>1</v>
      </c>
      <c r="N51" s="92">
        <f>POZ!D28</f>
        <v>1</v>
      </c>
      <c r="O51" s="92">
        <f>PTE!D28</f>
        <v>1</v>
      </c>
      <c r="P51" s="92">
        <f>PLC!D28</f>
        <v>1</v>
      </c>
      <c r="Q51" s="92">
        <f>FRE!D28</f>
        <v>1</v>
      </c>
      <c r="R51" s="92">
        <f>VEN!D29</f>
        <v>1</v>
      </c>
      <c r="S51" s="92">
        <f>RED!D28</f>
        <v>1</v>
      </c>
      <c r="T51" s="92">
        <f>BOLPLC!D28</f>
        <v>1</v>
      </c>
      <c r="U51" s="92">
        <f>CHUR!D28</f>
        <v>1</v>
      </c>
      <c r="V51" s="92">
        <f>MANS!D28</f>
        <v>1</v>
      </c>
      <c r="W51" s="92">
        <f>FARO!E28</f>
        <v>1</v>
      </c>
      <c r="X51" s="93">
        <f>SUM(C51:S51)</f>
        <v>17</v>
      </c>
    </row>
    <row r="52" spans="1:24" ht="15" thickBot="1" x14ac:dyDescent="0.35">
      <c r="A52" s="218"/>
      <c r="B52" s="101" t="s">
        <v>112</v>
      </c>
      <c r="C52" s="92">
        <f>ALT!E28</f>
        <v>1</v>
      </c>
      <c r="D52" s="92">
        <f>ANA!E28</f>
        <v>1</v>
      </c>
      <c r="E52" s="92">
        <f>CUM!E28</f>
        <v>1</v>
      </c>
      <c r="F52" s="92">
        <v>1</v>
      </c>
      <c r="G52" s="92">
        <f>'MAT II'!E28</f>
        <v>1</v>
      </c>
      <c r="H52" s="92">
        <f>'NVA BNA'!E28</f>
        <v>1</v>
      </c>
      <c r="I52" s="92">
        <f>CHU!E28</f>
        <v>1</v>
      </c>
      <c r="J52" s="92">
        <f>TER!E28</f>
        <v>1</v>
      </c>
      <c r="K52" s="92">
        <f>'TIG II'!E28</f>
        <v>1</v>
      </c>
      <c r="L52" s="92">
        <f>'TIG III'!E28</f>
        <v>1</v>
      </c>
      <c r="M52" s="92">
        <f>LEC!E30</f>
        <v>1</v>
      </c>
      <c r="N52" s="92">
        <f>POZ!E28</f>
        <v>1</v>
      </c>
      <c r="O52" s="92">
        <f>PTE!E28</f>
        <v>1</v>
      </c>
      <c r="P52" s="92">
        <f>PLC!E28</f>
        <v>1</v>
      </c>
      <c r="Q52" s="92">
        <f>FRE!E28</f>
        <v>1</v>
      </c>
      <c r="R52" s="92">
        <f>VEN!E29</f>
        <v>1</v>
      </c>
      <c r="S52" s="92">
        <f>RED!E28</f>
        <v>1</v>
      </c>
      <c r="T52" s="92">
        <f>BOLPLC!E28</f>
        <v>1</v>
      </c>
      <c r="U52" s="92">
        <f>CHUR!E28</f>
        <v>1</v>
      </c>
      <c r="V52" s="92">
        <f>MANS!E28</f>
        <v>1</v>
      </c>
      <c r="W52" s="92">
        <f>FARO!F28</f>
        <v>1</v>
      </c>
      <c r="X52" s="93">
        <f>SUM(C52:S52)</f>
        <v>17</v>
      </c>
    </row>
    <row r="53" spans="1:24" ht="15" thickBot="1" x14ac:dyDescent="0.35">
      <c r="A53" s="218"/>
      <c r="B53" s="101" t="s">
        <v>113</v>
      </c>
      <c r="C53" s="92">
        <f>ALT!F28</f>
        <v>1</v>
      </c>
      <c r="D53" s="92">
        <f>ANA!F28</f>
        <v>1</v>
      </c>
      <c r="E53" s="92">
        <f>CUM!E28</f>
        <v>1</v>
      </c>
      <c r="F53" s="92">
        <v>1</v>
      </c>
      <c r="G53" s="92">
        <f>'MAT II'!F28</f>
        <v>1</v>
      </c>
      <c r="H53" s="92">
        <f>'NVA BNA'!F28</f>
        <v>1</v>
      </c>
      <c r="I53" s="92">
        <f>CHU!E28</f>
        <v>1</v>
      </c>
      <c r="J53" s="92">
        <f>TER!F28</f>
        <v>1</v>
      </c>
      <c r="K53" s="92">
        <f>'TIG II'!F28</f>
        <v>1</v>
      </c>
      <c r="L53" s="92">
        <f>'TIG III'!F28</f>
        <v>1</v>
      </c>
      <c r="M53" s="92">
        <f>LEC!F30</f>
        <v>1</v>
      </c>
      <c r="N53" s="92">
        <f>POZ!F28</f>
        <v>1</v>
      </c>
      <c r="O53" s="92">
        <f>PTE!F28</f>
        <v>1</v>
      </c>
      <c r="P53" s="92">
        <f>PLC!F28</f>
        <v>1</v>
      </c>
      <c r="Q53" s="92">
        <f>FRE!F28</f>
        <v>1</v>
      </c>
      <c r="R53" s="92">
        <f>VEN!F29</f>
        <v>1</v>
      </c>
      <c r="S53" s="92">
        <f>RED!F28</f>
        <v>1</v>
      </c>
      <c r="T53" s="92">
        <f>BOLPLC!F28</f>
        <v>1</v>
      </c>
      <c r="U53" s="92">
        <f>CHUR!F28</f>
        <v>1</v>
      </c>
      <c r="V53" s="92">
        <f>MANS!F28</f>
        <v>1</v>
      </c>
      <c r="W53" s="111">
        <f>FARO!F28</f>
        <v>1</v>
      </c>
      <c r="X53" s="93">
        <f>SUM(C53:S53)</f>
        <v>17</v>
      </c>
    </row>
    <row r="54" spans="1:24" ht="15" thickBot="1" x14ac:dyDescent="0.35">
      <c r="A54" s="218"/>
      <c r="B54" s="102" t="s">
        <v>114</v>
      </c>
      <c r="C54" s="94">
        <f>+C53/C52</f>
        <v>1</v>
      </c>
      <c r="D54" s="94">
        <f t="shared" ref="D54:X54" si="13">+D53/D52</f>
        <v>1</v>
      </c>
      <c r="E54" s="94">
        <f>+E53/E52</f>
        <v>1</v>
      </c>
      <c r="F54" s="94">
        <f t="shared" si="13"/>
        <v>1</v>
      </c>
      <c r="G54" s="94">
        <f t="shared" si="13"/>
        <v>1</v>
      </c>
      <c r="H54" s="94">
        <f t="shared" si="13"/>
        <v>1</v>
      </c>
      <c r="I54" s="94">
        <f t="shared" si="13"/>
        <v>1</v>
      </c>
      <c r="J54" s="94">
        <f t="shared" si="13"/>
        <v>1</v>
      </c>
      <c r="K54" s="94">
        <f t="shared" si="13"/>
        <v>1</v>
      </c>
      <c r="L54" s="94">
        <f t="shared" si="13"/>
        <v>1</v>
      </c>
      <c r="M54" s="94">
        <f t="shared" si="13"/>
        <v>1</v>
      </c>
      <c r="N54" s="94">
        <f t="shared" si="13"/>
        <v>1</v>
      </c>
      <c r="O54" s="94">
        <f t="shared" si="13"/>
        <v>1</v>
      </c>
      <c r="P54" s="94">
        <f t="shared" si="13"/>
        <v>1</v>
      </c>
      <c r="Q54" s="94">
        <f t="shared" si="13"/>
        <v>1</v>
      </c>
      <c r="R54" s="94">
        <f t="shared" si="13"/>
        <v>1</v>
      </c>
      <c r="S54" s="94">
        <f t="shared" si="13"/>
        <v>1</v>
      </c>
      <c r="T54" s="94">
        <f>+T53/T52</f>
        <v>1</v>
      </c>
      <c r="U54" s="94">
        <f t="shared" si="13"/>
        <v>1</v>
      </c>
      <c r="V54" s="94">
        <f t="shared" si="13"/>
        <v>1</v>
      </c>
      <c r="W54" s="94">
        <f t="shared" si="13"/>
        <v>1</v>
      </c>
      <c r="X54" s="95">
        <f t="shared" si="13"/>
        <v>1</v>
      </c>
    </row>
    <row r="55" spans="1:24" ht="15" thickBot="1" x14ac:dyDescent="0.35">
      <c r="A55" s="218" t="s">
        <v>70</v>
      </c>
      <c r="B55" s="101" t="s">
        <v>111</v>
      </c>
      <c r="C55" s="92">
        <f>ALT!D29</f>
        <v>3</v>
      </c>
      <c r="D55" s="92">
        <f>ANA!D29</f>
        <v>3</v>
      </c>
      <c r="E55" s="92">
        <f>CUM!D29</f>
        <v>4</v>
      </c>
      <c r="F55" s="92">
        <v>4</v>
      </c>
      <c r="G55" s="92">
        <f>'MAT II'!D29</f>
        <v>3</v>
      </c>
      <c r="H55" s="92">
        <f>'NVA BNA'!D29</f>
        <v>2</v>
      </c>
      <c r="I55" s="92">
        <f>CHU!D29</f>
        <v>4</v>
      </c>
      <c r="J55" s="92">
        <f>TER!D29</f>
        <v>3</v>
      </c>
      <c r="K55" s="92">
        <f>'TIG II'!D29</f>
        <v>3</v>
      </c>
      <c r="L55" s="92">
        <f>'TIG III'!D29</f>
        <v>2</v>
      </c>
      <c r="M55" s="92">
        <f>LEC!D31</f>
        <v>6</v>
      </c>
      <c r="N55" s="92">
        <f>POZ!D29</f>
        <v>2</v>
      </c>
      <c r="O55" s="92">
        <f>PTE!D29</f>
        <v>5</v>
      </c>
      <c r="P55" s="92">
        <f>PLC!D29</f>
        <v>5</v>
      </c>
      <c r="Q55" s="92">
        <f>FRE!D29</f>
        <v>1</v>
      </c>
      <c r="R55" s="92">
        <f>VEN!D30</f>
        <v>7</v>
      </c>
      <c r="S55" s="92">
        <f>RED!D29</f>
        <v>5</v>
      </c>
      <c r="T55" s="92">
        <f>BOLPLC!D29</f>
        <v>2</v>
      </c>
      <c r="U55" s="92">
        <f>CHUR!D29</f>
        <v>3</v>
      </c>
      <c r="V55" s="92">
        <f>MANS!D29</f>
        <v>3</v>
      </c>
      <c r="W55" s="92">
        <f>FARO!E29</f>
        <v>4</v>
      </c>
      <c r="X55" s="99">
        <f>SUM(C55:S55)</f>
        <v>62</v>
      </c>
    </row>
    <row r="56" spans="1:24" ht="15" thickBot="1" x14ac:dyDescent="0.35">
      <c r="A56" s="218"/>
      <c r="B56" s="101" t="s">
        <v>112</v>
      </c>
      <c r="C56" s="92">
        <f>ALT!E29</f>
        <v>3</v>
      </c>
      <c r="D56" s="92">
        <f>ANA!E29</f>
        <v>3</v>
      </c>
      <c r="E56" s="92">
        <f>CUM!E29</f>
        <v>4</v>
      </c>
      <c r="F56" s="92">
        <v>4</v>
      </c>
      <c r="G56" s="92">
        <f>'MAT II'!E29</f>
        <v>3</v>
      </c>
      <c r="H56" s="92">
        <f>'NVA BNA'!E29</f>
        <v>2</v>
      </c>
      <c r="I56" s="92">
        <f>CHU!E29</f>
        <v>4</v>
      </c>
      <c r="J56" s="92">
        <f>TER!E29</f>
        <v>3</v>
      </c>
      <c r="K56" s="92">
        <f>'TIG II'!E29</f>
        <v>3</v>
      </c>
      <c r="L56" s="92">
        <f>'TIG III'!E29</f>
        <v>2</v>
      </c>
      <c r="M56" s="92">
        <f>LEC!E31</f>
        <v>6</v>
      </c>
      <c r="N56" s="92">
        <f>POZ!E29</f>
        <v>2</v>
      </c>
      <c r="O56" s="92">
        <f>PTE!E29</f>
        <v>5</v>
      </c>
      <c r="P56" s="92">
        <f>PLC!E29</f>
        <v>5</v>
      </c>
      <c r="Q56" s="92">
        <f>FRE!E29</f>
        <v>1</v>
      </c>
      <c r="R56" s="92">
        <f>VEN!E30</f>
        <v>7</v>
      </c>
      <c r="S56" s="92">
        <f>RED!E29</f>
        <v>5</v>
      </c>
      <c r="T56" s="92">
        <f>BOLPLC!E29</f>
        <v>2</v>
      </c>
      <c r="U56" s="92">
        <f>CHUR!E29</f>
        <v>3</v>
      </c>
      <c r="V56" s="92">
        <f>MANS!E29</f>
        <v>3</v>
      </c>
      <c r="W56" s="92">
        <f>FARO!F29</f>
        <v>4</v>
      </c>
      <c r="X56" s="99">
        <f>SUM(C56:S56)</f>
        <v>62</v>
      </c>
    </row>
    <row r="57" spans="1:24" ht="15" thickBot="1" x14ac:dyDescent="0.35">
      <c r="A57" s="218"/>
      <c r="B57" s="101" t="s">
        <v>113</v>
      </c>
      <c r="C57" s="92">
        <f>ALT!F29</f>
        <v>3</v>
      </c>
      <c r="D57" s="92">
        <f>ANA!F29</f>
        <v>3</v>
      </c>
      <c r="E57" s="92">
        <f>CUM!E29</f>
        <v>4</v>
      </c>
      <c r="F57" s="92">
        <v>4</v>
      </c>
      <c r="G57" s="92">
        <f>'MAT II'!F29</f>
        <v>3</v>
      </c>
      <c r="H57" s="92">
        <f>'NVA BNA'!F29</f>
        <v>2</v>
      </c>
      <c r="I57" s="92">
        <f>CHU!E29</f>
        <v>4</v>
      </c>
      <c r="J57" s="92">
        <f>TER!F29</f>
        <v>3</v>
      </c>
      <c r="K57" s="92">
        <f>'TIG II'!F29</f>
        <v>3</v>
      </c>
      <c r="L57" s="92">
        <f>'TIG III'!F29</f>
        <v>2</v>
      </c>
      <c r="M57" s="92">
        <f>LEC!F31</f>
        <v>6</v>
      </c>
      <c r="N57" s="92">
        <f>POZ!F29</f>
        <v>2</v>
      </c>
      <c r="O57" s="92">
        <f>PTE!F29</f>
        <v>5</v>
      </c>
      <c r="P57" s="92">
        <f>PLC!F29</f>
        <v>5</v>
      </c>
      <c r="Q57" s="92">
        <f>FRE!F29</f>
        <v>1</v>
      </c>
      <c r="R57" s="92">
        <f>VEN!F30</f>
        <v>7</v>
      </c>
      <c r="S57" s="92">
        <f>RED!F29</f>
        <v>5</v>
      </c>
      <c r="T57" s="92">
        <f>BOLPLC!F29</f>
        <v>2</v>
      </c>
      <c r="U57" s="92">
        <f>CHUR!F29</f>
        <v>3</v>
      </c>
      <c r="V57" s="92">
        <f>MANS!F29</f>
        <v>3</v>
      </c>
      <c r="W57" s="92">
        <f>FARO!F29</f>
        <v>4</v>
      </c>
      <c r="X57" s="99">
        <f>SUM(C57:S57)</f>
        <v>62</v>
      </c>
    </row>
    <row r="58" spans="1:24" ht="15" thickBot="1" x14ac:dyDescent="0.35">
      <c r="A58" s="218"/>
      <c r="B58" s="102" t="s">
        <v>114</v>
      </c>
      <c r="C58" s="94">
        <f>+C57/C56</f>
        <v>1</v>
      </c>
      <c r="D58" s="94">
        <f t="shared" ref="D58:X58" si="14">+D57/D56</f>
        <v>1</v>
      </c>
      <c r="E58" s="94">
        <f t="shared" si="14"/>
        <v>1</v>
      </c>
      <c r="F58" s="94">
        <f t="shared" si="14"/>
        <v>1</v>
      </c>
      <c r="G58" s="94">
        <f t="shared" si="14"/>
        <v>1</v>
      </c>
      <c r="H58" s="94">
        <f t="shared" si="14"/>
        <v>1</v>
      </c>
      <c r="I58" s="94">
        <f t="shared" si="14"/>
        <v>1</v>
      </c>
      <c r="J58" s="94">
        <f t="shared" si="14"/>
        <v>1</v>
      </c>
      <c r="K58" s="94">
        <f t="shared" si="14"/>
        <v>1</v>
      </c>
      <c r="L58" s="94">
        <f t="shared" si="14"/>
        <v>1</v>
      </c>
      <c r="M58" s="94">
        <f t="shared" si="14"/>
        <v>1</v>
      </c>
      <c r="N58" s="94">
        <f t="shared" si="14"/>
        <v>1</v>
      </c>
      <c r="O58" s="94">
        <f t="shared" si="14"/>
        <v>1</v>
      </c>
      <c r="P58" s="94">
        <f t="shared" si="14"/>
        <v>1</v>
      </c>
      <c r="Q58" s="94">
        <f t="shared" si="14"/>
        <v>1</v>
      </c>
      <c r="R58" s="94">
        <f t="shared" si="14"/>
        <v>1</v>
      </c>
      <c r="S58" s="94">
        <f t="shared" si="14"/>
        <v>1</v>
      </c>
      <c r="T58" s="94">
        <f t="shared" si="14"/>
        <v>1</v>
      </c>
      <c r="U58" s="94">
        <f t="shared" si="14"/>
        <v>1</v>
      </c>
      <c r="V58" s="94">
        <f t="shared" si="14"/>
        <v>1</v>
      </c>
      <c r="W58" s="94">
        <f t="shared" si="14"/>
        <v>1</v>
      </c>
      <c r="X58" s="95">
        <f t="shared" si="14"/>
        <v>1</v>
      </c>
    </row>
    <row r="59" spans="1:24" ht="15" thickBot="1" x14ac:dyDescent="0.35">
      <c r="A59" s="219" t="s">
        <v>116</v>
      </c>
      <c r="B59" s="220"/>
      <c r="C59" s="100">
        <f>AVERAGE(C58,C54,C50,C42,C38,C34,C30,C26,C22,C18,C14,C10,C6,C46)</f>
        <v>1</v>
      </c>
      <c r="D59" s="100">
        <f t="shared" ref="D59:X59" si="15">AVERAGE(D58,D54,D50,D42,D38,D34,D30,D26,D22,D18,D14,D10,D6,D46)</f>
        <v>1</v>
      </c>
      <c r="E59" s="100">
        <f t="shared" si="15"/>
        <v>1</v>
      </c>
      <c r="F59" s="100">
        <f t="shared" si="15"/>
        <v>0.9285714285714286</v>
      </c>
      <c r="G59" s="100">
        <f t="shared" si="15"/>
        <v>1</v>
      </c>
      <c r="H59" s="100">
        <f t="shared" si="15"/>
        <v>1</v>
      </c>
      <c r="I59" s="100">
        <f t="shared" si="15"/>
        <v>0.95714285714285718</v>
      </c>
      <c r="J59" s="100">
        <f t="shared" si="15"/>
        <v>0.97619047619047628</v>
      </c>
      <c r="K59" s="100">
        <f t="shared" si="15"/>
        <v>1</v>
      </c>
      <c r="L59" s="100">
        <f t="shared" si="15"/>
        <v>1</v>
      </c>
      <c r="M59" s="100">
        <f t="shared" si="15"/>
        <v>1</v>
      </c>
      <c r="N59" s="100">
        <f t="shared" si="15"/>
        <v>1</v>
      </c>
      <c r="O59" s="100">
        <f t="shared" si="15"/>
        <v>1</v>
      </c>
      <c r="P59" s="100">
        <f t="shared" si="15"/>
        <v>0.98571428571428577</v>
      </c>
      <c r="Q59" s="100">
        <f>AVERAGE(Q58,Q54,Q50,Q42,Q38,Q34,Q30,Q26,Q22,Q18,Q14,Q10,Q6)</f>
        <v>1</v>
      </c>
      <c r="R59" s="100">
        <f t="shared" si="15"/>
        <v>1</v>
      </c>
      <c r="S59" s="100">
        <f t="shared" si="15"/>
        <v>1</v>
      </c>
      <c r="T59" s="100">
        <f t="shared" si="15"/>
        <v>1</v>
      </c>
      <c r="U59" s="100">
        <f t="shared" si="15"/>
        <v>1</v>
      </c>
      <c r="V59" s="100">
        <f t="shared" si="15"/>
        <v>1</v>
      </c>
      <c r="W59" s="100">
        <f t="shared" si="15"/>
        <v>1</v>
      </c>
      <c r="X59" s="100">
        <f t="shared" si="15"/>
        <v>0.9857752528090844</v>
      </c>
    </row>
  </sheetData>
  <mergeCells count="17">
    <mergeCell ref="A7:A10"/>
    <mergeCell ref="A1:B2"/>
    <mergeCell ref="C1:X1"/>
    <mergeCell ref="A3:A6"/>
    <mergeCell ref="A11:A14"/>
    <mergeCell ref="A15:A18"/>
    <mergeCell ref="A19:A22"/>
    <mergeCell ref="A23:A26"/>
    <mergeCell ref="A27:A30"/>
    <mergeCell ref="A31:A34"/>
    <mergeCell ref="A51:A54"/>
    <mergeCell ref="A59:B59"/>
    <mergeCell ref="A55:A58"/>
    <mergeCell ref="A35:A38"/>
    <mergeCell ref="A39:A42"/>
    <mergeCell ref="A43:A46"/>
    <mergeCell ref="A47:A5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2"/>
  <dimension ref="A1:E19"/>
  <sheetViews>
    <sheetView workbookViewId="0">
      <selection activeCell="E9" sqref="E9"/>
    </sheetView>
  </sheetViews>
  <sheetFormatPr baseColWidth="10" defaultRowHeight="14.4" x14ac:dyDescent="0.3"/>
  <cols>
    <col min="1" max="1" width="50" customWidth="1" collapsed="1"/>
  </cols>
  <sheetData>
    <row r="1" spans="1:5" x14ac:dyDescent="0.3">
      <c r="A1" s="2" t="s">
        <v>79</v>
      </c>
      <c r="B1" s="1"/>
      <c r="C1" s="1"/>
      <c r="D1" s="1"/>
      <c r="E1" s="1"/>
    </row>
    <row r="2" spans="1:5" x14ac:dyDescent="0.3">
      <c r="A2" s="50" t="s">
        <v>2</v>
      </c>
      <c r="B2" s="1"/>
      <c r="C2" s="1"/>
      <c r="D2" s="1"/>
      <c r="E2" s="1"/>
    </row>
    <row r="3" spans="1:5" x14ac:dyDescent="0.3">
      <c r="A3" s="50" t="s">
        <v>48</v>
      </c>
      <c r="B3" s="1"/>
      <c r="C3" s="1"/>
      <c r="D3" s="1"/>
      <c r="E3" s="1"/>
    </row>
    <row r="4" spans="1:5" x14ac:dyDescent="0.3">
      <c r="A4" s="50" t="s">
        <v>71</v>
      </c>
      <c r="B4" s="1"/>
      <c r="C4" s="1"/>
      <c r="D4" s="1"/>
      <c r="E4" s="1"/>
    </row>
    <row r="5" spans="1:5" x14ac:dyDescent="0.3">
      <c r="A5" s="50" t="s">
        <v>72</v>
      </c>
      <c r="B5" s="1"/>
      <c r="C5" s="1"/>
      <c r="D5" s="1"/>
      <c r="E5" s="1"/>
    </row>
    <row r="6" spans="1:5" x14ac:dyDescent="0.3">
      <c r="A6" s="50" t="s">
        <v>73</v>
      </c>
      <c r="B6" s="1"/>
      <c r="C6" s="1"/>
      <c r="D6" s="1"/>
      <c r="E6" s="1"/>
    </row>
    <row r="7" spans="1:5" x14ac:dyDescent="0.3">
      <c r="A7" s="50" t="s">
        <v>3</v>
      </c>
      <c r="B7" s="1"/>
      <c r="C7" s="1"/>
      <c r="D7" s="1"/>
      <c r="E7" s="1"/>
    </row>
    <row r="8" spans="1:5" x14ac:dyDescent="0.3">
      <c r="A8" s="50" t="s">
        <v>80</v>
      </c>
      <c r="B8" s="1"/>
      <c r="C8" s="1"/>
      <c r="D8" s="1"/>
      <c r="E8" s="1"/>
    </row>
    <row r="9" spans="1:5" x14ac:dyDescent="0.3">
      <c r="A9" s="50" t="s">
        <v>4</v>
      </c>
      <c r="B9" s="1"/>
      <c r="C9" s="1"/>
      <c r="D9" s="1"/>
      <c r="E9" s="1"/>
    </row>
    <row r="10" spans="1:5" x14ac:dyDescent="0.3">
      <c r="A10" s="1" t="s">
        <v>74</v>
      </c>
      <c r="B10" s="1"/>
      <c r="C10" s="1"/>
      <c r="D10" s="1"/>
      <c r="E10" s="1"/>
    </row>
    <row r="11" spans="1:5" x14ac:dyDescent="0.3">
      <c r="A11" s="1" t="s">
        <v>75</v>
      </c>
      <c r="B11" s="1"/>
      <c r="C11" s="1"/>
      <c r="D11" s="1"/>
      <c r="E11" s="1"/>
    </row>
    <row r="12" spans="1:5" x14ac:dyDescent="0.3">
      <c r="A12" s="1" t="s">
        <v>5</v>
      </c>
      <c r="B12" s="1"/>
      <c r="C12" s="1"/>
      <c r="D12" s="1"/>
      <c r="E12" s="1"/>
    </row>
    <row r="13" spans="1:5" x14ac:dyDescent="0.3">
      <c r="A13" s="1" t="s">
        <v>76</v>
      </c>
      <c r="B13" s="1"/>
      <c r="C13" s="1"/>
      <c r="D13" s="1"/>
      <c r="E13" s="1"/>
    </row>
    <row r="14" spans="1:5" x14ac:dyDescent="0.3">
      <c r="A14" s="1" t="s">
        <v>81</v>
      </c>
      <c r="B14" s="1"/>
      <c r="C14" s="1"/>
      <c r="D14" s="1"/>
      <c r="E14" s="1"/>
    </row>
    <row r="15" spans="1:5" x14ac:dyDescent="0.3">
      <c r="A15" s="1" t="s">
        <v>82</v>
      </c>
      <c r="B15" s="1"/>
      <c r="C15" s="1"/>
      <c r="D15" s="1"/>
      <c r="E15" s="1"/>
    </row>
    <row r="16" spans="1:5" x14ac:dyDescent="0.3">
      <c r="A16" s="1" t="s">
        <v>77</v>
      </c>
      <c r="B16" s="1"/>
      <c r="C16" s="1"/>
      <c r="D16" s="1"/>
      <c r="E16" s="1"/>
    </row>
    <row r="17" spans="1:5" x14ac:dyDescent="0.3">
      <c r="A17" s="1" t="s">
        <v>6</v>
      </c>
      <c r="B17" s="1"/>
      <c r="C17" s="1"/>
      <c r="D17" s="1"/>
      <c r="E17" s="1"/>
    </row>
    <row r="18" spans="1:5" x14ac:dyDescent="0.3">
      <c r="A18" s="1" t="s">
        <v>78</v>
      </c>
      <c r="B18" s="1"/>
      <c r="C18" s="1"/>
      <c r="D18" s="1"/>
      <c r="E18" s="1"/>
    </row>
    <row r="19" spans="1:5" x14ac:dyDescent="0.3">
      <c r="A19" s="1" t="s">
        <v>7</v>
      </c>
      <c r="B19" s="1"/>
      <c r="C19" s="1"/>
      <c r="D19" s="1"/>
      <c r="E19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3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4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25</vt:i4>
      </vt:variant>
    </vt:vector>
  </HeadingPairs>
  <TitlesOfParts>
    <vt:vector size="53" baseType="lpstr">
      <vt:lpstr>ALT</vt:lpstr>
      <vt:lpstr>ANA</vt:lpstr>
      <vt:lpstr>CUM</vt:lpstr>
      <vt:lpstr>MAT I</vt:lpstr>
      <vt:lpstr>MAT II</vt:lpstr>
      <vt:lpstr>NVA BNA</vt:lpstr>
      <vt:lpstr>TER</vt:lpstr>
      <vt:lpstr>CHU</vt:lpstr>
      <vt:lpstr>TIG II</vt:lpstr>
      <vt:lpstr>POZ</vt:lpstr>
      <vt:lpstr>TIG III</vt:lpstr>
      <vt:lpstr>LEC</vt:lpstr>
      <vt:lpstr>PTE</vt:lpstr>
      <vt:lpstr>PLC</vt:lpstr>
      <vt:lpstr>FRE</vt:lpstr>
      <vt:lpstr>VEN</vt:lpstr>
      <vt:lpstr>RED</vt:lpstr>
      <vt:lpstr>BOLPLC</vt:lpstr>
      <vt:lpstr>CHUR</vt:lpstr>
      <vt:lpstr>MANS</vt:lpstr>
      <vt:lpstr>FARO</vt:lpstr>
      <vt:lpstr>CRUCERO</vt:lpstr>
      <vt:lpstr>BOYACA</vt:lpstr>
      <vt:lpstr>MUNIPALPLC</vt:lpstr>
      <vt:lpstr>CONSOLIDADO</vt:lpstr>
      <vt:lpstr>MAESTRO</vt:lpstr>
      <vt:lpstr>Hoja2</vt:lpstr>
      <vt:lpstr>Hoja1</vt:lpstr>
      <vt:lpstr>ALT!Área_de_impresión</vt:lpstr>
      <vt:lpstr>ANA!Área_de_impresión</vt:lpstr>
      <vt:lpstr>BOLPLC!Área_de_impresión</vt:lpstr>
      <vt:lpstr>BOYACA!Área_de_impresión</vt:lpstr>
      <vt:lpstr>CHU!Área_de_impresión</vt:lpstr>
      <vt:lpstr>CHUR!Área_de_impresión</vt:lpstr>
      <vt:lpstr>CRUCERO!Área_de_impresión</vt:lpstr>
      <vt:lpstr>CUM!Área_de_impresión</vt:lpstr>
      <vt:lpstr>FARO!Área_de_impresión</vt:lpstr>
      <vt:lpstr>FRE!Área_de_impresión</vt:lpstr>
      <vt:lpstr>LEC!Área_de_impresión</vt:lpstr>
      <vt:lpstr>MANS!Área_de_impresión</vt:lpstr>
      <vt:lpstr>'MAT I'!Área_de_impresión</vt:lpstr>
      <vt:lpstr>'MAT II'!Área_de_impresión</vt:lpstr>
      <vt:lpstr>MUNIPALPLC!Área_de_impresión</vt:lpstr>
      <vt:lpstr>'NVA BNA'!Área_de_impresión</vt:lpstr>
      <vt:lpstr>PLC!Área_de_impresión</vt:lpstr>
      <vt:lpstr>POZ!Área_de_impresión</vt:lpstr>
      <vt:lpstr>PTE!Área_de_impresión</vt:lpstr>
      <vt:lpstr>RED!Área_de_impresión</vt:lpstr>
      <vt:lpstr>TER!Área_de_impresión</vt:lpstr>
      <vt:lpstr>'TIG II'!Área_de_impresión</vt:lpstr>
      <vt:lpstr>'TIG III'!Área_de_impresión</vt:lpstr>
      <vt:lpstr>VEN!Área_de_impresión</vt:lpstr>
      <vt:lpstr>SUCURSALES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lmendoza</dc:creator>
  <cp:lastModifiedBy>PC Franklin</cp:lastModifiedBy>
  <cp:lastPrinted>2023-11-07T19:18:27Z</cp:lastPrinted>
  <dcterms:created xsi:type="dcterms:W3CDTF">2015-04-14T20:47:07Z</dcterms:created>
  <dcterms:modified xsi:type="dcterms:W3CDTF">2026-05-15T14:11:37Z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96 96 1360 768</vt:lpwstr>
  </property>
</Properties>
</file>